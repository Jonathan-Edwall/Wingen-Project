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go991/Documents/Herring_Array/Publications/Baltic_Herring_Manuscript/ReAnalysis_Corrected_AF_Issue/PNAS_Submission/FINAL_SUBMISSION/Supp_Datasets/"/>
    </mc:Choice>
  </mc:AlternateContent>
  <xr:revisionPtr revIDLastSave="0" documentId="13_ncr:1_{C77C117F-E112-E54F-8F8D-B38E063C55EF}" xr6:coauthVersionLast="47" xr6:coauthVersionMax="47" xr10:uidLastSave="{00000000-0000-0000-0000-000000000000}"/>
  <bookViews>
    <workbookView xWindow="4300" yWindow="1700" windowWidth="30740" windowHeight="19220" xr2:uid="{28271BE9-52C3-D941-A7A4-24FB7A5A26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3" i="1" l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<sst xmlns="http://schemas.openxmlformats.org/spreadsheetml/2006/main" count="1065" uniqueCount="847">
  <si>
    <t>Capture_Population</t>
  </si>
  <si>
    <t>Replicates(n)</t>
  </si>
  <si>
    <t>Autumn_Ecotype(n)</t>
  </si>
  <si>
    <t>Spring_Ecotype(n)</t>
  </si>
  <si>
    <t>Majority_Spawning_Ecotype</t>
  </si>
  <si>
    <t>Locality</t>
  </si>
  <si>
    <t>Spring_Component_Cluster</t>
  </si>
  <si>
    <t>Latitude</t>
  </si>
  <si>
    <t>Longitude</t>
  </si>
  <si>
    <t>Catch_Date</t>
  </si>
  <si>
    <t>Week_Number</t>
  </si>
  <si>
    <t>Sea_Bottom_Salinity</t>
  </si>
  <si>
    <t>Sea_Bottom_Temperature</t>
  </si>
  <si>
    <t>Fig_S2_Location_Number</t>
  </si>
  <si>
    <t>BLE12</t>
  </si>
  <si>
    <t>Gåsefjärden</t>
  </si>
  <si>
    <t>South</t>
  </si>
  <si>
    <t>56.095</t>
  </si>
  <si>
    <t>15.753</t>
  </si>
  <si>
    <t>16.542</t>
  </si>
  <si>
    <t>6.758</t>
  </si>
  <si>
    <t>BLE09</t>
  </si>
  <si>
    <t>Dynan</t>
  </si>
  <si>
    <t>56.104</t>
  </si>
  <si>
    <t>15.571</t>
  </si>
  <si>
    <t>10.911</t>
  </si>
  <si>
    <t>6.874</t>
  </si>
  <si>
    <t>BLE19</t>
  </si>
  <si>
    <t>12.25</t>
  </si>
  <si>
    <t>6.883</t>
  </si>
  <si>
    <t>BLE46</t>
  </si>
  <si>
    <t>Tjurkö</t>
  </si>
  <si>
    <t>56.105</t>
  </si>
  <si>
    <t>15.57</t>
  </si>
  <si>
    <t>15.685</t>
  </si>
  <si>
    <t>7.603</t>
  </si>
  <si>
    <t>BLE17</t>
  </si>
  <si>
    <t>Bollösand</t>
  </si>
  <si>
    <t>56.114</t>
  </si>
  <si>
    <t>15.49</t>
  </si>
  <si>
    <t>9.579</t>
  </si>
  <si>
    <t>6.908</t>
  </si>
  <si>
    <t>BLE45</t>
  </si>
  <si>
    <t>Drottningskär</t>
  </si>
  <si>
    <t>56.118</t>
  </si>
  <si>
    <t>15.568</t>
  </si>
  <si>
    <t>15.945</t>
  </si>
  <si>
    <t>7.604</t>
  </si>
  <si>
    <t>BLE07</t>
  </si>
  <si>
    <t>Yttre Redden</t>
  </si>
  <si>
    <t>Central</t>
  </si>
  <si>
    <t>56.132</t>
  </si>
  <si>
    <t>15.575</t>
  </si>
  <si>
    <t>10.393</t>
  </si>
  <si>
    <t>6.909</t>
  </si>
  <si>
    <t>BLE20</t>
  </si>
  <si>
    <t>11.746</t>
  </si>
  <si>
    <t>6.906</t>
  </si>
  <si>
    <t>BLE10</t>
  </si>
  <si>
    <t>Flatskären</t>
  </si>
  <si>
    <t>56.143</t>
  </si>
  <si>
    <t>15.733</t>
  </si>
  <si>
    <t>14.995</t>
  </si>
  <si>
    <t>6.725</t>
  </si>
  <si>
    <t>BLE43</t>
  </si>
  <si>
    <t>Karlskrona</t>
  </si>
  <si>
    <t>56.144</t>
  </si>
  <si>
    <t>15.58</t>
  </si>
  <si>
    <t>15.041</t>
  </si>
  <si>
    <t>7.635</t>
  </si>
  <si>
    <t>BLE13</t>
  </si>
  <si>
    <t>Hallarum</t>
  </si>
  <si>
    <t>56.145</t>
  </si>
  <si>
    <t>15.806</t>
  </si>
  <si>
    <t>16.368</t>
  </si>
  <si>
    <t>6.798</t>
  </si>
  <si>
    <t>BLE04</t>
  </si>
  <si>
    <t>Kuggebodafjärden</t>
  </si>
  <si>
    <t>56.146</t>
  </si>
  <si>
    <t>15.386</t>
  </si>
  <si>
    <t>7.851</t>
  </si>
  <si>
    <t>6.913</t>
  </si>
  <si>
    <t>BLE31</t>
  </si>
  <si>
    <t>Getskär</t>
  </si>
  <si>
    <t>15.61</t>
  </si>
  <si>
    <t>10.642</t>
  </si>
  <si>
    <t>6.924</t>
  </si>
  <si>
    <t>BLE11</t>
  </si>
  <si>
    <t>Nätsahallen</t>
  </si>
  <si>
    <t>56.148</t>
  </si>
  <si>
    <t>15.811</t>
  </si>
  <si>
    <t>15.629</t>
  </si>
  <si>
    <t>BLE26</t>
  </si>
  <si>
    <t>Alleskär</t>
  </si>
  <si>
    <t>56.154</t>
  </si>
  <si>
    <t>15.549</t>
  </si>
  <si>
    <t>14.356</t>
  </si>
  <si>
    <t>6.865</t>
  </si>
  <si>
    <t>BLE44</t>
  </si>
  <si>
    <t>56.155</t>
  </si>
  <si>
    <t>15.548</t>
  </si>
  <si>
    <t>13.865</t>
  </si>
  <si>
    <t>7.657</t>
  </si>
  <si>
    <t>BLE14</t>
  </si>
  <si>
    <t>Österholm</t>
  </si>
  <si>
    <t>56.158</t>
  </si>
  <si>
    <t>15.717</t>
  </si>
  <si>
    <t>16.002</t>
  </si>
  <si>
    <t>6.759</t>
  </si>
  <si>
    <t>BLE22</t>
  </si>
  <si>
    <t>Verköfjärden</t>
  </si>
  <si>
    <t>56.16</t>
  </si>
  <si>
    <t>15.625</t>
  </si>
  <si>
    <t>13.462</t>
  </si>
  <si>
    <t>6.727</t>
  </si>
  <si>
    <t>BLE27</t>
  </si>
  <si>
    <t>Hageö</t>
  </si>
  <si>
    <t>56.162</t>
  </si>
  <si>
    <t>15.531</t>
  </si>
  <si>
    <t>11.603</t>
  </si>
  <si>
    <t>6.855</t>
  </si>
  <si>
    <t>BLE28</t>
  </si>
  <si>
    <t>Verkö</t>
  </si>
  <si>
    <t>15.623</t>
  </si>
  <si>
    <t>12.912</t>
  </si>
  <si>
    <t>6.822</t>
  </si>
  <si>
    <t>BLE02</t>
  </si>
  <si>
    <t>Säljöviken</t>
  </si>
  <si>
    <t>56.163</t>
  </si>
  <si>
    <t>15.675</t>
  </si>
  <si>
    <t>13.966</t>
  </si>
  <si>
    <t>6.773</t>
  </si>
  <si>
    <t>BLE21</t>
  </si>
  <si>
    <t>Mariagrund</t>
  </si>
  <si>
    <t>15.601</t>
  </si>
  <si>
    <t>14.345</t>
  </si>
  <si>
    <t>6.875</t>
  </si>
  <si>
    <t>BLE29</t>
  </si>
  <si>
    <t>Saltö</t>
  </si>
  <si>
    <t>15.558</t>
  </si>
  <si>
    <t>11.945</t>
  </si>
  <si>
    <t>BLE03</t>
  </si>
  <si>
    <t>Kålfjärden</t>
  </si>
  <si>
    <t>56.165</t>
  </si>
  <si>
    <t>15.425</t>
  </si>
  <si>
    <t>13.959</t>
  </si>
  <si>
    <t>7.044</t>
  </si>
  <si>
    <t>BLE18</t>
  </si>
  <si>
    <t>Rollsö</t>
  </si>
  <si>
    <t>56.166</t>
  </si>
  <si>
    <t>15.544</t>
  </si>
  <si>
    <t>14.122</t>
  </si>
  <si>
    <t>6.877</t>
  </si>
  <si>
    <t>BLE15</t>
  </si>
  <si>
    <t>56.169</t>
  </si>
  <si>
    <t>15.627</t>
  </si>
  <si>
    <t>15.914</t>
  </si>
  <si>
    <t>6.832</t>
  </si>
  <si>
    <t>BLE01</t>
  </si>
  <si>
    <t>Degelskär</t>
  </si>
  <si>
    <t>56.17</t>
  </si>
  <si>
    <t>15.56</t>
  </si>
  <si>
    <t>11.676</t>
  </si>
  <si>
    <t>6.88</t>
  </si>
  <si>
    <t>BLE23</t>
  </si>
  <si>
    <t>Dragsö</t>
  </si>
  <si>
    <t>56.18</t>
  </si>
  <si>
    <t>15.573</t>
  </si>
  <si>
    <t>13.137</t>
  </si>
  <si>
    <t>7.069</t>
  </si>
  <si>
    <t>BLE16</t>
  </si>
  <si>
    <t>56.185</t>
  </si>
  <si>
    <t>15.569</t>
  </si>
  <si>
    <t>16.289</t>
  </si>
  <si>
    <t>6.94</t>
  </si>
  <si>
    <t>KAL05</t>
  </si>
  <si>
    <t>Sladö</t>
  </si>
  <si>
    <t>57.794</t>
  </si>
  <si>
    <t>16.783</t>
  </si>
  <si>
    <t>11.88</t>
  </si>
  <si>
    <t>6.057</t>
  </si>
  <si>
    <t>KAL06</t>
  </si>
  <si>
    <t>Havike fjärde</t>
  </si>
  <si>
    <t>57.811</t>
  </si>
  <si>
    <t>16.711</t>
  </si>
  <si>
    <t>12.99</t>
  </si>
  <si>
    <t>6.132</t>
  </si>
  <si>
    <t>KAL11</t>
  </si>
  <si>
    <t>Sandudden</t>
  </si>
  <si>
    <t>57.846</t>
  </si>
  <si>
    <t>16.548</t>
  </si>
  <si>
    <t>9.773</t>
  </si>
  <si>
    <t>5.967</t>
  </si>
  <si>
    <t>KAL12</t>
  </si>
  <si>
    <t>Vinöklavssundet</t>
  </si>
  <si>
    <t>57.877</t>
  </si>
  <si>
    <t>16.597</t>
  </si>
  <si>
    <t>14.277</t>
  </si>
  <si>
    <t>6.729</t>
  </si>
  <si>
    <t>OST01</t>
  </si>
  <si>
    <t>Hästsundet</t>
  </si>
  <si>
    <t>57.95</t>
  </si>
  <si>
    <t>16.77</t>
  </si>
  <si>
    <t>11.611</t>
  </si>
  <si>
    <t>5.89</t>
  </si>
  <si>
    <t>OST06</t>
  </si>
  <si>
    <t>Kråkviken</t>
  </si>
  <si>
    <t>58.047</t>
  </si>
  <si>
    <t>16.731</t>
  </si>
  <si>
    <t>8.88</t>
  </si>
  <si>
    <t>6.513</t>
  </si>
  <si>
    <t>OST10_BLE40</t>
  </si>
  <si>
    <t>8.374</t>
  </si>
  <si>
    <t>6.849</t>
  </si>
  <si>
    <t>OST02</t>
  </si>
  <si>
    <t>Valdemarsvik</t>
  </si>
  <si>
    <t>58.318</t>
  </si>
  <si>
    <t>17.043</t>
  </si>
  <si>
    <t>6.904</t>
  </si>
  <si>
    <t>6.255</t>
  </si>
  <si>
    <t>OST03</t>
  </si>
  <si>
    <t>Hovelsö</t>
  </si>
  <si>
    <t>58.397</t>
  </si>
  <si>
    <t>16.937</t>
  </si>
  <si>
    <t>12.094</t>
  </si>
  <si>
    <t>6.17</t>
  </si>
  <si>
    <t>OST05</t>
  </si>
  <si>
    <t>Aspöja</t>
  </si>
  <si>
    <t>58.419</t>
  </si>
  <si>
    <t>16.969</t>
  </si>
  <si>
    <t>12.09</t>
  </si>
  <si>
    <t>5.532</t>
  </si>
  <si>
    <t>OST04</t>
  </si>
  <si>
    <t>Bergön</t>
  </si>
  <si>
    <t>58.449</t>
  </si>
  <si>
    <t>16.977</t>
  </si>
  <si>
    <t>15.319</t>
  </si>
  <si>
    <t>5.581</t>
  </si>
  <si>
    <t>SOD01</t>
  </si>
  <si>
    <t>Vibäcksudden</t>
  </si>
  <si>
    <t>58.648</t>
  </si>
  <si>
    <t>17.03</t>
  </si>
  <si>
    <t>12.305</t>
  </si>
  <si>
    <t>5.486</t>
  </si>
  <si>
    <t>STH45</t>
  </si>
  <si>
    <t>Ornö</t>
  </si>
  <si>
    <t>59.045</t>
  </si>
  <si>
    <t>18.439</t>
  </si>
  <si>
    <t>5.628</t>
  </si>
  <si>
    <t>5.315</t>
  </si>
  <si>
    <t>STH36A</t>
  </si>
  <si>
    <t>Björkö</t>
  </si>
  <si>
    <t>59.056</t>
  </si>
  <si>
    <t>18.344</t>
  </si>
  <si>
    <t>20.022</t>
  </si>
  <si>
    <t>4.826</t>
  </si>
  <si>
    <t>STH27</t>
  </si>
  <si>
    <t>Möja</t>
  </si>
  <si>
    <t>59.417</t>
  </si>
  <si>
    <t>18.917</t>
  </si>
  <si>
    <t>15.057</t>
  </si>
  <si>
    <t>4.952</t>
  </si>
  <si>
    <t>STH33</t>
  </si>
  <si>
    <t>Räfsnäs</t>
  </si>
  <si>
    <t>59.759</t>
  </si>
  <si>
    <t>19.085</t>
  </si>
  <si>
    <t>10.064</t>
  </si>
  <si>
    <t>5.283</t>
  </si>
  <si>
    <t>STH34</t>
  </si>
  <si>
    <t>Gräddö</t>
  </si>
  <si>
    <t>59.772</t>
  </si>
  <si>
    <t>19.008</t>
  </si>
  <si>
    <t>13.226</t>
  </si>
  <si>
    <t>5.216</t>
  </si>
  <si>
    <t>STH30</t>
  </si>
  <si>
    <t xml:space="preserve">Kobussören </t>
  </si>
  <si>
    <t>59.776</t>
  </si>
  <si>
    <t>18.963</t>
  </si>
  <si>
    <t>18.78</t>
  </si>
  <si>
    <t>4.436</t>
  </si>
  <si>
    <t>STH35</t>
  </si>
  <si>
    <t>Gisslingö</t>
  </si>
  <si>
    <t>59.783</t>
  </si>
  <si>
    <t>19.201</t>
  </si>
  <si>
    <t>12.267</t>
  </si>
  <si>
    <t>5.167</t>
  </si>
  <si>
    <t>STH24</t>
  </si>
  <si>
    <t>Studsboda</t>
  </si>
  <si>
    <t>59.922</t>
  </si>
  <si>
    <t>18.887</t>
  </si>
  <si>
    <t>10.545</t>
  </si>
  <si>
    <t>4.774</t>
  </si>
  <si>
    <t>STH28</t>
  </si>
  <si>
    <t>Kvarnsand</t>
  </si>
  <si>
    <t>60.074</t>
  </si>
  <si>
    <t>18.833</t>
  </si>
  <si>
    <t>6.07</t>
  </si>
  <si>
    <t>5.411</t>
  </si>
  <si>
    <t>STH44</t>
  </si>
  <si>
    <t>60.078</t>
  </si>
  <si>
    <t>18.839</t>
  </si>
  <si>
    <t>4.623</t>
  </si>
  <si>
    <t>5.879</t>
  </si>
  <si>
    <t>STH29</t>
  </si>
  <si>
    <t>Grisslehamn</t>
  </si>
  <si>
    <t>60.09</t>
  </si>
  <si>
    <t>18.835</t>
  </si>
  <si>
    <t>6.867</t>
  </si>
  <si>
    <t>5.645</t>
  </si>
  <si>
    <t>STH43</t>
  </si>
  <si>
    <t>60.099</t>
  </si>
  <si>
    <t>18.849</t>
  </si>
  <si>
    <t>4.857</t>
  </si>
  <si>
    <t>5.401</t>
  </si>
  <si>
    <t>STH39</t>
  </si>
  <si>
    <t>Kråkorna</t>
  </si>
  <si>
    <t>60.149</t>
  </si>
  <si>
    <t>18.683</t>
  </si>
  <si>
    <t>8.415</t>
  </si>
  <si>
    <t>4.757</t>
  </si>
  <si>
    <t>STH13</t>
  </si>
  <si>
    <t>Rörskäret</t>
  </si>
  <si>
    <t>60.15</t>
  </si>
  <si>
    <t>18.656</t>
  </si>
  <si>
    <t>7.172</t>
  </si>
  <si>
    <t>5.03</t>
  </si>
  <si>
    <t>STH02</t>
  </si>
  <si>
    <t>Askholmen</t>
  </si>
  <si>
    <t>60.173</t>
  </si>
  <si>
    <t>18.591</t>
  </si>
  <si>
    <t>8.425</t>
  </si>
  <si>
    <t>4.903</t>
  </si>
  <si>
    <t>STH12</t>
  </si>
  <si>
    <t>Vingeskär</t>
  </si>
  <si>
    <t>18.674</t>
  </si>
  <si>
    <t>6.882</t>
  </si>
  <si>
    <t>5.047</t>
  </si>
  <si>
    <t>STH18</t>
  </si>
  <si>
    <t>Medholma</t>
  </si>
  <si>
    <t>60.179</t>
  </si>
  <si>
    <t>18.621</t>
  </si>
  <si>
    <t>8.41</t>
  </si>
  <si>
    <t>4.72</t>
  </si>
  <si>
    <t>STH14</t>
  </si>
  <si>
    <t>Strömmen</t>
  </si>
  <si>
    <t>60.185</t>
  </si>
  <si>
    <t>18.625</t>
  </si>
  <si>
    <t>7.513</t>
  </si>
  <si>
    <t>4.705</t>
  </si>
  <si>
    <t>STH37</t>
  </si>
  <si>
    <t>Slätön</t>
  </si>
  <si>
    <t>60.192</t>
  </si>
  <si>
    <t>18.659</t>
  </si>
  <si>
    <t>9.868</t>
  </si>
  <si>
    <t>4.502</t>
  </si>
  <si>
    <t>STH41</t>
  </si>
  <si>
    <t>Slätö strömmen</t>
  </si>
  <si>
    <t>60.193</t>
  </si>
  <si>
    <t>18.627</t>
  </si>
  <si>
    <t>9.134</t>
  </si>
  <si>
    <t>4.816</t>
  </si>
  <si>
    <t>STH06</t>
  </si>
  <si>
    <t>Gåssten</t>
  </si>
  <si>
    <t>60.202</t>
  </si>
  <si>
    <t>18.774</t>
  </si>
  <si>
    <t>7.919</t>
  </si>
  <si>
    <t>5.132</t>
  </si>
  <si>
    <t>STH07</t>
  </si>
  <si>
    <t>Raggarön</t>
  </si>
  <si>
    <t>60.203</t>
  </si>
  <si>
    <t>18.618</t>
  </si>
  <si>
    <t>9.204</t>
  </si>
  <si>
    <t>4.969</t>
  </si>
  <si>
    <t>STH21</t>
  </si>
  <si>
    <t>Lambskär</t>
  </si>
  <si>
    <t>60.206</t>
  </si>
  <si>
    <t>18.676</t>
  </si>
  <si>
    <t>11.688</t>
  </si>
  <si>
    <t>4.993</t>
  </si>
  <si>
    <t>STH36B</t>
  </si>
  <si>
    <t>60.213</t>
  </si>
  <si>
    <t>18.603</t>
  </si>
  <si>
    <t>8.074</t>
  </si>
  <si>
    <t>4.64</t>
  </si>
  <si>
    <t>STH17</t>
  </si>
  <si>
    <t>Timmervik</t>
  </si>
  <si>
    <t>60.214</t>
  </si>
  <si>
    <t>18.59</t>
  </si>
  <si>
    <t>7.49</t>
  </si>
  <si>
    <t>4.9</t>
  </si>
  <si>
    <t>STH04</t>
  </si>
  <si>
    <t>Älvsnäs</t>
  </si>
  <si>
    <t>60.218</t>
  </si>
  <si>
    <t>18.558</t>
  </si>
  <si>
    <t>10.218</t>
  </si>
  <si>
    <t>4.948</t>
  </si>
  <si>
    <t>STH20</t>
  </si>
  <si>
    <t>Råsten</t>
  </si>
  <si>
    <t>60.22</t>
  </si>
  <si>
    <t>18.726</t>
  </si>
  <si>
    <t>5.672</t>
  </si>
  <si>
    <t>5.159</t>
  </si>
  <si>
    <t>STH09</t>
  </si>
  <si>
    <t>Långgrundet</t>
  </si>
  <si>
    <t>60.226</t>
  </si>
  <si>
    <t>18.692</t>
  </si>
  <si>
    <t>7.695</t>
  </si>
  <si>
    <t>4.943</t>
  </si>
  <si>
    <t>STH40</t>
  </si>
  <si>
    <t>Fälösundet</t>
  </si>
  <si>
    <t>60.23</t>
  </si>
  <si>
    <t>18.651</t>
  </si>
  <si>
    <t>7.978</t>
  </si>
  <si>
    <t>4.546</t>
  </si>
  <si>
    <t>STH11</t>
  </si>
  <si>
    <t>Boda sundet</t>
  </si>
  <si>
    <t>60.235</t>
  </si>
  <si>
    <t>4.855</t>
  </si>
  <si>
    <t>5.188</t>
  </si>
  <si>
    <t>STH38</t>
  </si>
  <si>
    <t>60.238</t>
  </si>
  <si>
    <t>18.666</t>
  </si>
  <si>
    <t>6.869</t>
  </si>
  <si>
    <t>4.731</t>
  </si>
  <si>
    <t>STH15</t>
  </si>
  <si>
    <t>Skogskäret</t>
  </si>
  <si>
    <t>60.239</t>
  </si>
  <si>
    <t>18.776</t>
  </si>
  <si>
    <t>5.155</t>
  </si>
  <si>
    <t>5.19</t>
  </si>
  <si>
    <t>STH22</t>
  </si>
  <si>
    <t>Vässarön</t>
  </si>
  <si>
    <t>60.251</t>
  </si>
  <si>
    <t>18.703</t>
  </si>
  <si>
    <t>6.606</t>
  </si>
  <si>
    <t>5.013</t>
  </si>
  <si>
    <t>STH19</t>
  </si>
  <si>
    <t>Bodskär</t>
  </si>
  <si>
    <t>60.273</t>
  </si>
  <si>
    <t>18.687</t>
  </si>
  <si>
    <t>7.878</t>
  </si>
  <si>
    <t>5.008</t>
  </si>
  <si>
    <t>STH10</t>
  </si>
  <si>
    <t>Alnö sten</t>
  </si>
  <si>
    <t>60.308</t>
  </si>
  <si>
    <t>18.493</t>
  </si>
  <si>
    <t>18.206</t>
  </si>
  <si>
    <t>4.799</t>
  </si>
  <si>
    <t>UPP07</t>
  </si>
  <si>
    <t>Bredbådan</t>
  </si>
  <si>
    <t>60.478</t>
  </si>
  <si>
    <t>18.151</t>
  </si>
  <si>
    <t>10.313</t>
  </si>
  <si>
    <t>4.838</t>
  </si>
  <si>
    <t>UPP02</t>
  </si>
  <si>
    <t>Storbådarn</t>
  </si>
  <si>
    <t>60.551</t>
  </si>
  <si>
    <t>17.711</t>
  </si>
  <si>
    <t>14.898</t>
  </si>
  <si>
    <t>4.126</t>
  </si>
  <si>
    <t>UPP03</t>
  </si>
  <si>
    <t>12.987</t>
  </si>
  <si>
    <t>3.262</t>
  </si>
  <si>
    <t>UPP05</t>
  </si>
  <si>
    <t>Mörten</t>
  </si>
  <si>
    <t>60.553</t>
  </si>
  <si>
    <t>17.68</t>
  </si>
  <si>
    <t>9.83</t>
  </si>
  <si>
    <t>4.053</t>
  </si>
  <si>
    <t>UPP01</t>
  </si>
  <si>
    <t>Bagarn</t>
  </si>
  <si>
    <t>60.555</t>
  </si>
  <si>
    <t>17.655</t>
  </si>
  <si>
    <t>10.726</t>
  </si>
  <si>
    <t>3.388</t>
  </si>
  <si>
    <t>UPP04</t>
  </si>
  <si>
    <t>Vällskaten</t>
  </si>
  <si>
    <t>60.56</t>
  </si>
  <si>
    <t>17.722</t>
  </si>
  <si>
    <t>16.667</t>
  </si>
  <si>
    <t>UPP06</t>
  </si>
  <si>
    <t>Skrakören</t>
  </si>
  <si>
    <t>60.561</t>
  </si>
  <si>
    <t>17.691</t>
  </si>
  <si>
    <t>11.811</t>
  </si>
  <si>
    <t>4.484</t>
  </si>
  <si>
    <t>UPP09</t>
  </si>
  <si>
    <t>Sill-rabben</t>
  </si>
  <si>
    <t>Autumn</t>
  </si>
  <si>
    <t>60.696</t>
  </si>
  <si>
    <t>17.321</t>
  </si>
  <si>
    <t>14.586</t>
  </si>
  <si>
    <t>4.344</t>
  </si>
  <si>
    <t>UPP10</t>
  </si>
  <si>
    <t>13.58</t>
  </si>
  <si>
    <t>3.991</t>
  </si>
  <si>
    <t>UPP11</t>
  </si>
  <si>
    <t>12.283</t>
  </si>
  <si>
    <t>3.68</t>
  </si>
  <si>
    <t>UPP08</t>
  </si>
  <si>
    <t>Bönaviken</t>
  </si>
  <si>
    <t>North</t>
  </si>
  <si>
    <t>60.736</t>
  </si>
  <si>
    <t>17.327</t>
  </si>
  <si>
    <t>18.197</t>
  </si>
  <si>
    <t>4.133</t>
  </si>
  <si>
    <t>GAV16</t>
  </si>
  <si>
    <t>Sydosten</t>
  </si>
  <si>
    <t>61.35</t>
  </si>
  <si>
    <t>17.233</t>
  </si>
  <si>
    <t>11.088</t>
  </si>
  <si>
    <t>5.092</t>
  </si>
  <si>
    <t>GAV10</t>
  </si>
  <si>
    <t>Yhnskärshällan</t>
  </si>
  <si>
    <t>61.373</t>
  </si>
  <si>
    <t>17.143</t>
  </si>
  <si>
    <t>7.547</t>
  </si>
  <si>
    <t>4.896</t>
  </si>
  <si>
    <t>GAV14</t>
  </si>
  <si>
    <t>Skärså</t>
  </si>
  <si>
    <t>61.383</t>
  </si>
  <si>
    <t>17.117</t>
  </si>
  <si>
    <t>7.253</t>
  </si>
  <si>
    <t>4.92</t>
  </si>
  <si>
    <t>GAV09</t>
  </si>
  <si>
    <t>Öster om Klacksörarna</t>
  </si>
  <si>
    <t>61.387</t>
  </si>
  <si>
    <t>17.256</t>
  </si>
  <si>
    <t>3.254</t>
  </si>
  <si>
    <t>5.222</t>
  </si>
  <si>
    <t>GAV11</t>
  </si>
  <si>
    <t>Snäcken</t>
  </si>
  <si>
    <t>61.417</t>
  </si>
  <si>
    <t>17.186</t>
  </si>
  <si>
    <t>5.941</t>
  </si>
  <si>
    <t>5.101</t>
  </si>
  <si>
    <t>GAV12</t>
  </si>
  <si>
    <t>Lillgrundet</t>
  </si>
  <si>
    <t>61.418</t>
  </si>
  <si>
    <t>17.201</t>
  </si>
  <si>
    <t>3.948</t>
  </si>
  <si>
    <t>5.218</t>
  </si>
  <si>
    <t>GAV18</t>
  </si>
  <si>
    <t>Storgrund</t>
  </si>
  <si>
    <t>61.424</t>
  </si>
  <si>
    <t>17.31</t>
  </si>
  <si>
    <t>5.538</t>
  </si>
  <si>
    <t>GAV20</t>
  </si>
  <si>
    <t>Öster om Fäbodön</t>
  </si>
  <si>
    <t>61.425</t>
  </si>
  <si>
    <t>17.325</t>
  </si>
  <si>
    <t>5.688</t>
  </si>
  <si>
    <t>5.603</t>
  </si>
  <si>
    <t>GAV19</t>
  </si>
  <si>
    <t>61.428</t>
  </si>
  <si>
    <t>17.291</t>
  </si>
  <si>
    <t>14.012</t>
  </si>
  <si>
    <t>4.831</t>
  </si>
  <si>
    <t>GAV17</t>
  </si>
  <si>
    <t>61.438</t>
  </si>
  <si>
    <t>17.27</t>
  </si>
  <si>
    <t>14.866</t>
  </si>
  <si>
    <t>GAV06</t>
  </si>
  <si>
    <t>Strandske udden</t>
  </si>
  <si>
    <t>61.55</t>
  </si>
  <si>
    <t>17.114</t>
  </si>
  <si>
    <t>5.107</t>
  </si>
  <si>
    <t>GAV08</t>
  </si>
  <si>
    <t>Borkbo</t>
  </si>
  <si>
    <t>12.837</t>
  </si>
  <si>
    <t>4.869</t>
  </si>
  <si>
    <t>GAV07</t>
  </si>
  <si>
    <t>Agön</t>
  </si>
  <si>
    <t>61.565</t>
  </si>
  <si>
    <t>17.415</t>
  </si>
  <si>
    <t>4.071</t>
  </si>
  <si>
    <t>5.438</t>
  </si>
  <si>
    <t>GAV27</t>
  </si>
  <si>
    <t>Bjorka</t>
  </si>
  <si>
    <t>61.685</t>
  </si>
  <si>
    <t>17.514</t>
  </si>
  <si>
    <t>6.994</t>
  </si>
  <si>
    <t>5.027</t>
  </si>
  <si>
    <t>GAV26</t>
  </si>
  <si>
    <t>Åhålet</t>
  </si>
  <si>
    <t>61.69</t>
  </si>
  <si>
    <t>17.518</t>
  </si>
  <si>
    <t>GAV22</t>
  </si>
  <si>
    <t>Bila</t>
  </si>
  <si>
    <t>61.73</t>
  </si>
  <si>
    <t>17.419</t>
  </si>
  <si>
    <t>15.695</t>
  </si>
  <si>
    <t>4.095</t>
  </si>
  <si>
    <t>GAV04</t>
  </si>
  <si>
    <t>Gammel hamn</t>
  </si>
  <si>
    <t>61.733</t>
  </si>
  <si>
    <t>17.533</t>
  </si>
  <si>
    <t>3.986</t>
  </si>
  <si>
    <t>5.711</t>
  </si>
  <si>
    <t>GAV25</t>
  </si>
  <si>
    <t>Hästholmen</t>
  </si>
  <si>
    <t>61.738</t>
  </si>
  <si>
    <t>17.462</t>
  </si>
  <si>
    <t>4.932</t>
  </si>
  <si>
    <t>5.895</t>
  </si>
  <si>
    <t>GAV02</t>
  </si>
  <si>
    <t>61.742</t>
  </si>
  <si>
    <t>17.467</t>
  </si>
  <si>
    <t>4.195</t>
  </si>
  <si>
    <t>5.416</t>
  </si>
  <si>
    <t>GAV23</t>
  </si>
  <si>
    <t>Lakbäcksgrund</t>
  </si>
  <si>
    <t>61.743</t>
  </si>
  <si>
    <t>17.404</t>
  </si>
  <si>
    <t>7.94</t>
  </si>
  <si>
    <t>5.097</t>
  </si>
  <si>
    <t>GAV05</t>
  </si>
  <si>
    <t>61.75</t>
  </si>
  <si>
    <t>17.417</t>
  </si>
  <si>
    <t>4.485</t>
  </si>
  <si>
    <t>5.413</t>
  </si>
  <si>
    <t>GAV03</t>
  </si>
  <si>
    <t>Skatudden</t>
  </si>
  <si>
    <t>61.767</t>
  </si>
  <si>
    <t>17.383</t>
  </si>
  <si>
    <t>10.822</t>
  </si>
  <si>
    <t>4.593</t>
  </si>
  <si>
    <t>GAV01</t>
  </si>
  <si>
    <t>Fatbotten</t>
  </si>
  <si>
    <t>61.901</t>
  </si>
  <si>
    <t>17.408</t>
  </si>
  <si>
    <t>4.416</t>
  </si>
  <si>
    <t>5.057</t>
  </si>
  <si>
    <t>VAN12</t>
  </si>
  <si>
    <t>Lörudden</t>
  </si>
  <si>
    <t>62.23</t>
  </si>
  <si>
    <t>17.667</t>
  </si>
  <si>
    <t>4.663</t>
  </si>
  <si>
    <t>VAN13</t>
  </si>
  <si>
    <t>Brämön</t>
  </si>
  <si>
    <t>62.261</t>
  </si>
  <si>
    <t>17.75</t>
  </si>
  <si>
    <t>4.976</t>
  </si>
  <si>
    <t>5.868</t>
  </si>
  <si>
    <t>VAB24</t>
  </si>
  <si>
    <t>Hästviken</t>
  </si>
  <si>
    <t>62.538</t>
  </si>
  <si>
    <t>17.893</t>
  </si>
  <si>
    <t>11.447</t>
  </si>
  <si>
    <t>4.528</t>
  </si>
  <si>
    <t>VAN09</t>
  </si>
  <si>
    <t>Sörbådan</t>
  </si>
  <si>
    <t>62.54</t>
  </si>
  <si>
    <t>6.351</t>
  </si>
  <si>
    <t>5.225</t>
  </si>
  <si>
    <t>VAN01</t>
  </si>
  <si>
    <t>Tjärskär</t>
  </si>
  <si>
    <t>62.543</t>
  </si>
  <si>
    <t>17.925</t>
  </si>
  <si>
    <t>4.038</t>
  </si>
  <si>
    <t>5.675</t>
  </si>
  <si>
    <t>VAN02</t>
  </si>
  <si>
    <t>62.546</t>
  </si>
  <si>
    <t>17.936</t>
  </si>
  <si>
    <t>4.291</t>
  </si>
  <si>
    <t>5.84</t>
  </si>
  <si>
    <t>VAN04</t>
  </si>
  <si>
    <t>Fällsvikshamnen</t>
  </si>
  <si>
    <t>62.851</t>
  </si>
  <si>
    <t>18.343</t>
  </si>
  <si>
    <t>5.5</t>
  </si>
  <si>
    <t>4.69</t>
  </si>
  <si>
    <t>VAN07</t>
  </si>
  <si>
    <t>Strängön</t>
  </si>
  <si>
    <t>63.117</t>
  </si>
  <si>
    <t>18.65</t>
  </si>
  <si>
    <t>5.517</t>
  </si>
  <si>
    <t>VAN06</t>
  </si>
  <si>
    <t xml:space="preserve">Älgön </t>
  </si>
  <si>
    <t>63.147</t>
  </si>
  <si>
    <t>18.667</t>
  </si>
  <si>
    <t>4.65</t>
  </si>
  <si>
    <t>5.82</t>
  </si>
  <si>
    <t>VAN05</t>
  </si>
  <si>
    <t>Storbåtvikavan</t>
  </si>
  <si>
    <t>63.266</t>
  </si>
  <si>
    <t>19.176</t>
  </si>
  <si>
    <t>4.599</t>
  </si>
  <si>
    <t>5.767</t>
  </si>
  <si>
    <t>VAB06</t>
  </si>
  <si>
    <t>Stöckesgrund</t>
  </si>
  <si>
    <t>63.625</t>
  </si>
  <si>
    <t>20.27</t>
  </si>
  <si>
    <t>9.994</t>
  </si>
  <si>
    <t>3.403</t>
  </si>
  <si>
    <t>VAB05</t>
  </si>
  <si>
    <t>Korsörarna</t>
  </si>
  <si>
    <t>64.602</t>
  </si>
  <si>
    <t>21.385</t>
  </si>
  <si>
    <t>4.255</t>
  </si>
  <si>
    <t>3.384</t>
  </si>
  <si>
    <t>VAB04</t>
  </si>
  <si>
    <t>Nygrundet</t>
  </si>
  <si>
    <t>64.67</t>
  </si>
  <si>
    <t>21.36</t>
  </si>
  <si>
    <t>12.302</t>
  </si>
  <si>
    <t>2.75</t>
  </si>
  <si>
    <t>VAB20</t>
  </si>
  <si>
    <t>Bergskärsgrundet</t>
  </si>
  <si>
    <t>64.804</t>
  </si>
  <si>
    <t>21.13</t>
  </si>
  <si>
    <t>8.96</t>
  </si>
  <si>
    <t>2.345</t>
  </si>
  <si>
    <t>VAB21</t>
  </si>
  <si>
    <t>9.851</t>
  </si>
  <si>
    <t>2.139</t>
  </si>
  <si>
    <t>VAB18</t>
  </si>
  <si>
    <t>Ostnäsgrundet</t>
  </si>
  <si>
    <t>64.808</t>
  </si>
  <si>
    <t>21.156</t>
  </si>
  <si>
    <t>5.206</t>
  </si>
  <si>
    <t>3.242</t>
  </si>
  <si>
    <t>VAB19</t>
  </si>
  <si>
    <t>5.547</t>
  </si>
  <si>
    <t>3.236</t>
  </si>
  <si>
    <t>VAB15</t>
  </si>
  <si>
    <t>6.95</t>
  </si>
  <si>
    <t>2.833</t>
  </si>
  <si>
    <t>VAB16</t>
  </si>
  <si>
    <t>8.449</t>
  </si>
  <si>
    <t>2.481</t>
  </si>
  <si>
    <t>VAB17</t>
  </si>
  <si>
    <t>10.948</t>
  </si>
  <si>
    <t>2.488</t>
  </si>
  <si>
    <t>VAB01</t>
  </si>
  <si>
    <t>Bergskäret</t>
  </si>
  <si>
    <t>64.809</t>
  </si>
  <si>
    <t>21.071</t>
  </si>
  <si>
    <t>8.89</t>
  </si>
  <si>
    <t>2.73</t>
  </si>
  <si>
    <t>VAB03</t>
  </si>
  <si>
    <t>64.812</t>
  </si>
  <si>
    <t>21.162</t>
  </si>
  <si>
    <t>6.031</t>
  </si>
  <si>
    <t>3.089</t>
  </si>
  <si>
    <t>VAB22</t>
  </si>
  <si>
    <t>Säcken</t>
  </si>
  <si>
    <t>64.82</t>
  </si>
  <si>
    <t>21.182</t>
  </si>
  <si>
    <t>8.481</t>
  </si>
  <si>
    <t>2.521</t>
  </si>
  <si>
    <t>VAB23</t>
  </si>
  <si>
    <t>10.964</t>
  </si>
  <si>
    <t>2.483</t>
  </si>
  <si>
    <t>VAB02</t>
  </si>
  <si>
    <t>Kungagrundet</t>
  </si>
  <si>
    <t>64.859</t>
  </si>
  <si>
    <t>21.235</t>
  </si>
  <si>
    <t>6.482</t>
  </si>
  <si>
    <t>3.18</t>
  </si>
  <si>
    <t>NOB14</t>
  </si>
  <si>
    <t>Hattgrundet</t>
  </si>
  <si>
    <t>65.032</t>
  </si>
  <si>
    <t>21.568</t>
  </si>
  <si>
    <t>9.141</t>
  </si>
  <si>
    <t>3.192</t>
  </si>
  <si>
    <t>NOB15</t>
  </si>
  <si>
    <t>Hösen</t>
  </si>
  <si>
    <t>65.112</t>
  </si>
  <si>
    <t>21.71</t>
  </si>
  <si>
    <t>9.29</t>
  </si>
  <si>
    <t>3.105</t>
  </si>
  <si>
    <t>NOB20</t>
  </si>
  <si>
    <t>Norr-Äspen/Kluntarna</t>
  </si>
  <si>
    <t>65.436</t>
  </si>
  <si>
    <t>22.561</t>
  </si>
  <si>
    <t>5.894</t>
  </si>
  <si>
    <t>3.257</t>
  </si>
  <si>
    <t>NOB13</t>
  </si>
  <si>
    <t>Estersön</t>
  </si>
  <si>
    <t>65.561</t>
  </si>
  <si>
    <t>22.815</t>
  </si>
  <si>
    <t>9.658</t>
  </si>
  <si>
    <t>2.986</t>
  </si>
  <si>
    <t>NOB11</t>
  </si>
  <si>
    <t>Likskärsgrynnan</t>
  </si>
  <si>
    <t>65.605</t>
  </si>
  <si>
    <t>23.053</t>
  </si>
  <si>
    <t>8.2</t>
  </si>
  <si>
    <t>2.62</t>
  </si>
  <si>
    <t>NOB10</t>
  </si>
  <si>
    <t>Töcken</t>
  </si>
  <si>
    <t>65.617</t>
  </si>
  <si>
    <t>22.967</t>
  </si>
  <si>
    <t>8.353</t>
  </si>
  <si>
    <t>2.549</t>
  </si>
  <si>
    <t>NOB07</t>
  </si>
  <si>
    <t xml:space="preserve">Väringen </t>
  </si>
  <si>
    <t>22.75</t>
  </si>
  <si>
    <t>6.876</t>
  </si>
  <si>
    <t>3.182</t>
  </si>
  <si>
    <t>NOB04</t>
  </si>
  <si>
    <t>Stor Furuön</t>
  </si>
  <si>
    <t>65.625</t>
  </si>
  <si>
    <t>22.667</t>
  </si>
  <si>
    <t>7.597</t>
  </si>
  <si>
    <t>3.166</t>
  </si>
  <si>
    <t>NOB02</t>
  </si>
  <si>
    <t>Väster Grönen</t>
  </si>
  <si>
    <t>65.667</t>
  </si>
  <si>
    <t>23.3</t>
  </si>
  <si>
    <t>11.696</t>
  </si>
  <si>
    <t>1.68</t>
  </si>
  <si>
    <t>NOB09</t>
  </si>
  <si>
    <t>Storöfjärden</t>
  </si>
  <si>
    <t>65.676</t>
  </si>
  <si>
    <t>23.232</t>
  </si>
  <si>
    <t>10.646</t>
  </si>
  <si>
    <t>2.03</t>
  </si>
  <si>
    <t>NOB08</t>
  </si>
  <si>
    <t>65.689</t>
  </si>
  <si>
    <t>23.168</t>
  </si>
  <si>
    <t>8.716</t>
  </si>
  <si>
    <t>2.967</t>
  </si>
  <si>
    <t>NOB03</t>
  </si>
  <si>
    <t>Vålmen</t>
  </si>
  <si>
    <t>65.7</t>
  </si>
  <si>
    <t>23.467</t>
  </si>
  <si>
    <t>13.342</t>
  </si>
  <si>
    <t>1.233</t>
  </si>
  <si>
    <t>NOB16</t>
  </si>
  <si>
    <t>Hällhamnsklippan</t>
  </si>
  <si>
    <t>22.817</t>
  </si>
  <si>
    <t>15.082</t>
  </si>
  <si>
    <t>1.71</t>
  </si>
  <si>
    <t>NOB01</t>
  </si>
  <si>
    <t>65.702</t>
  </si>
  <si>
    <t>22.818</t>
  </si>
  <si>
    <t>14.51</t>
  </si>
  <si>
    <t>1.261</t>
  </si>
  <si>
    <t>NOB05</t>
  </si>
  <si>
    <t xml:space="preserve">Skagsfuruholmen </t>
  </si>
  <si>
    <t>65.767</t>
  </si>
  <si>
    <t>22.733</t>
  </si>
  <si>
    <t>16.227</t>
  </si>
  <si>
    <t>1.172</t>
  </si>
  <si>
    <r>
      <rPr>
        <b/>
        <sz val="12"/>
        <color theme="1"/>
        <rFont val="Calibri"/>
        <family val="2"/>
        <scheme val="minor"/>
      </rPr>
      <t xml:space="preserve">Dataset S2. </t>
    </r>
    <r>
      <rPr>
        <sz val="12"/>
        <color theme="1"/>
        <rFont val="Calibri"/>
        <family val="2"/>
        <scheme val="minor"/>
      </rPr>
      <t>Summary of per location assignments and associated abiotic factors for all locations sampled for the Swedish East Coast Dataset (SECD) (n = 150 locations).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</si>
</sst>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7D6C-88A6-214E-9EB1-23476BFE54FC}">
  <dimension ref="A1:N153"/>
  <sheetViews>
    <sheetView tabSelected="1" workbookViewId="0">
      <selection activeCell="A10" sqref="A10"/>
    </sheetView>
  </sheetViews>
  <sheetFormatPr baseColWidth="10" defaultRowHeight="16" x14ac:dyDescent="0.2"/>
  <cols>
    <col min="1" max="1" width="20.1640625" style="2" customWidth="1"/>
    <col min="2" max="2" width="12" style="2" bestFit="1" customWidth="1"/>
    <col min="3" max="3" width="22.33203125" style="2" customWidth="1"/>
    <col min="4" max="4" width="16" style="2" bestFit="1" customWidth="1"/>
    <col min="5" max="5" width="24.6640625" style="2" bestFit="1" customWidth="1"/>
    <col min="6" max="7" width="24.6640625" style="2" customWidth="1"/>
    <col min="8" max="9" width="18.83203125" style="2" bestFit="1" customWidth="1"/>
    <col min="10" max="10" width="11.6640625" style="6" bestFit="1" customWidth="1"/>
    <col min="11" max="11" width="13.5" style="2" bestFit="1" customWidth="1"/>
    <col min="12" max="12" width="18.5" style="2" bestFit="1" customWidth="1"/>
    <col min="13" max="13" width="23.33203125" style="2" bestFit="1" customWidth="1"/>
    <col min="14" max="14" width="22.5" style="2" bestFit="1" customWidth="1"/>
  </cols>
  <sheetData>
    <row r="1" spans="1:14" x14ac:dyDescent="0.2">
      <c r="A1" s="1" t="s">
        <v>846</v>
      </c>
      <c r="J1" s="2"/>
    </row>
    <row r="3" spans="1:14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4" t="s">
        <v>9</v>
      </c>
      <c r="K3" s="3" t="s">
        <v>10</v>
      </c>
      <c r="L3" s="3" t="s">
        <v>11</v>
      </c>
      <c r="M3" s="3" t="s">
        <v>12</v>
      </c>
      <c r="N3" s="3" t="s">
        <v>13</v>
      </c>
    </row>
    <row r="4" spans="1:14" x14ac:dyDescent="0.2">
      <c r="A4" s="2" t="s">
        <v>14</v>
      </c>
      <c r="B4" s="2">
        <v>14</v>
      </c>
      <c r="C4" s="2">
        <v>0</v>
      </c>
      <c r="D4" s="2">
        <v>14</v>
      </c>
      <c r="E4" s="2" t="str">
        <f t="shared" ref="E4:E67" si="0">IF(C4&gt;D4,"AUTUMN","SPRING")</f>
        <v>SPRING</v>
      </c>
      <c r="F4" s="2" t="s">
        <v>15</v>
      </c>
      <c r="G4" s="2" t="s">
        <v>16</v>
      </c>
      <c r="H4" s="5" t="s">
        <v>17</v>
      </c>
      <c r="I4" s="5" t="s">
        <v>18</v>
      </c>
      <c r="J4" s="6">
        <v>44361</v>
      </c>
      <c r="K4" s="2">
        <v>24</v>
      </c>
      <c r="L4" s="2" t="s">
        <v>19</v>
      </c>
      <c r="M4" s="2" t="s">
        <v>20</v>
      </c>
      <c r="N4" s="2">
        <v>1</v>
      </c>
    </row>
    <row r="5" spans="1:14" x14ac:dyDescent="0.2">
      <c r="A5" s="2" t="s">
        <v>21</v>
      </c>
      <c r="B5" s="2">
        <v>10</v>
      </c>
      <c r="C5" s="2">
        <v>0</v>
      </c>
      <c r="D5" s="2">
        <v>10</v>
      </c>
      <c r="E5" s="2" t="str">
        <f t="shared" si="0"/>
        <v>SPRING</v>
      </c>
      <c r="F5" s="2" t="s">
        <v>22</v>
      </c>
      <c r="G5" s="2" t="s">
        <v>16</v>
      </c>
      <c r="H5" s="5" t="s">
        <v>23</v>
      </c>
      <c r="I5" s="5" t="s">
        <v>24</v>
      </c>
      <c r="J5" s="6">
        <v>44341</v>
      </c>
      <c r="K5" s="2">
        <v>21</v>
      </c>
      <c r="L5" s="2" t="s">
        <v>25</v>
      </c>
      <c r="M5" s="2" t="s">
        <v>26</v>
      </c>
      <c r="N5" s="2">
        <v>2</v>
      </c>
    </row>
    <row r="6" spans="1:14" x14ac:dyDescent="0.2">
      <c r="A6" s="2" t="s">
        <v>27</v>
      </c>
      <c r="B6" s="2">
        <v>10</v>
      </c>
      <c r="C6" s="2">
        <v>0</v>
      </c>
      <c r="D6" s="2">
        <v>10</v>
      </c>
      <c r="E6" s="2" t="str">
        <f t="shared" si="0"/>
        <v>SPRING</v>
      </c>
      <c r="F6" s="2" t="s">
        <v>22</v>
      </c>
      <c r="G6" s="2" t="s">
        <v>16</v>
      </c>
      <c r="H6" s="5" t="s">
        <v>23</v>
      </c>
      <c r="I6" s="5" t="s">
        <v>24</v>
      </c>
      <c r="J6" s="6">
        <v>44352</v>
      </c>
      <c r="K6" s="2">
        <v>22</v>
      </c>
      <c r="L6" s="2" t="s">
        <v>28</v>
      </c>
      <c r="M6" s="2" t="s">
        <v>29</v>
      </c>
      <c r="N6" s="2">
        <v>3</v>
      </c>
    </row>
    <row r="7" spans="1:14" x14ac:dyDescent="0.2">
      <c r="A7" s="2" t="s">
        <v>30</v>
      </c>
      <c r="B7" s="2">
        <v>26</v>
      </c>
      <c r="C7" s="2">
        <v>0</v>
      </c>
      <c r="D7" s="2">
        <v>26</v>
      </c>
      <c r="E7" s="2" t="str">
        <f t="shared" si="0"/>
        <v>SPRING</v>
      </c>
      <c r="F7" s="2" t="s">
        <v>31</v>
      </c>
      <c r="G7" s="2" t="s">
        <v>16</v>
      </c>
      <c r="H7" s="5" t="s">
        <v>32</v>
      </c>
      <c r="I7" s="5" t="s">
        <v>33</v>
      </c>
      <c r="J7" s="6">
        <v>44743</v>
      </c>
      <c r="K7" s="2">
        <v>26</v>
      </c>
      <c r="L7" s="2" t="s">
        <v>34</v>
      </c>
      <c r="M7" s="2" t="s">
        <v>35</v>
      </c>
      <c r="N7" s="2">
        <v>4</v>
      </c>
    </row>
    <row r="8" spans="1:14" x14ac:dyDescent="0.2">
      <c r="A8" s="2" t="s">
        <v>36</v>
      </c>
      <c r="B8" s="2">
        <v>28</v>
      </c>
      <c r="C8" s="2">
        <v>0</v>
      </c>
      <c r="D8" s="2">
        <v>28</v>
      </c>
      <c r="E8" s="2" t="str">
        <f t="shared" si="0"/>
        <v>SPRING</v>
      </c>
      <c r="F8" s="2" t="s">
        <v>37</v>
      </c>
      <c r="G8" s="2" t="s">
        <v>16</v>
      </c>
      <c r="H8" s="5" t="s">
        <v>38</v>
      </c>
      <c r="I8" s="5" t="s">
        <v>39</v>
      </c>
      <c r="J8" s="6">
        <v>44361</v>
      </c>
      <c r="K8" s="2">
        <v>24</v>
      </c>
      <c r="L8" s="2" t="s">
        <v>40</v>
      </c>
      <c r="M8" s="2" t="s">
        <v>41</v>
      </c>
      <c r="N8" s="2">
        <v>5</v>
      </c>
    </row>
    <row r="9" spans="1:14" x14ac:dyDescent="0.2">
      <c r="A9" s="2" t="s">
        <v>42</v>
      </c>
      <c r="B9" s="2">
        <v>24</v>
      </c>
      <c r="C9" s="2">
        <v>0</v>
      </c>
      <c r="D9" s="2">
        <v>24</v>
      </c>
      <c r="E9" s="2" t="str">
        <f t="shared" si="0"/>
        <v>SPRING</v>
      </c>
      <c r="F9" s="2" t="s">
        <v>43</v>
      </c>
      <c r="G9" s="2" t="s">
        <v>16</v>
      </c>
      <c r="H9" s="5" t="s">
        <v>44</v>
      </c>
      <c r="I9" s="5" t="s">
        <v>45</v>
      </c>
      <c r="J9" s="6">
        <v>44744</v>
      </c>
      <c r="K9" s="2">
        <v>26</v>
      </c>
      <c r="L9" s="2" t="s">
        <v>46</v>
      </c>
      <c r="M9" s="2" t="s">
        <v>47</v>
      </c>
      <c r="N9" s="2">
        <v>6</v>
      </c>
    </row>
    <row r="10" spans="1:14" x14ac:dyDescent="0.2">
      <c r="A10" s="2" t="s">
        <v>48</v>
      </c>
      <c r="B10" s="2">
        <v>14</v>
      </c>
      <c r="C10" s="2">
        <v>0</v>
      </c>
      <c r="D10" s="2">
        <v>14</v>
      </c>
      <c r="E10" s="2" t="str">
        <f t="shared" si="0"/>
        <v>SPRING</v>
      </c>
      <c r="F10" s="2" t="s">
        <v>49</v>
      </c>
      <c r="G10" s="2" t="s">
        <v>50</v>
      </c>
      <c r="H10" s="5" t="s">
        <v>51</v>
      </c>
      <c r="I10" s="5" t="s">
        <v>52</v>
      </c>
      <c r="J10" s="6">
        <v>44337</v>
      </c>
      <c r="K10" s="2">
        <v>20</v>
      </c>
      <c r="L10" s="2" t="s">
        <v>53</v>
      </c>
      <c r="M10" s="2" t="s">
        <v>54</v>
      </c>
      <c r="N10" s="2">
        <v>7</v>
      </c>
    </row>
    <row r="11" spans="1:14" x14ac:dyDescent="0.2">
      <c r="A11" s="2" t="s">
        <v>55</v>
      </c>
      <c r="B11" s="2">
        <v>13</v>
      </c>
      <c r="C11" s="2">
        <v>0</v>
      </c>
      <c r="D11" s="2">
        <v>13</v>
      </c>
      <c r="E11" s="2" t="str">
        <f t="shared" si="0"/>
        <v>SPRING</v>
      </c>
      <c r="F11" s="2" t="s">
        <v>49</v>
      </c>
      <c r="G11" s="2" t="s">
        <v>16</v>
      </c>
      <c r="H11" s="5" t="s">
        <v>51</v>
      </c>
      <c r="I11" s="5" t="s">
        <v>52</v>
      </c>
      <c r="J11" s="6">
        <v>44351</v>
      </c>
      <c r="K11" s="2">
        <v>22</v>
      </c>
      <c r="L11" s="2" t="s">
        <v>56</v>
      </c>
      <c r="M11" s="2" t="s">
        <v>57</v>
      </c>
      <c r="N11" s="2">
        <v>8</v>
      </c>
    </row>
    <row r="12" spans="1:14" x14ac:dyDescent="0.2">
      <c r="A12" s="2" t="s">
        <v>58</v>
      </c>
      <c r="B12" s="2">
        <v>40</v>
      </c>
      <c r="C12" s="2">
        <v>0</v>
      </c>
      <c r="D12" s="2">
        <v>40</v>
      </c>
      <c r="E12" s="2" t="str">
        <f t="shared" si="0"/>
        <v>SPRING</v>
      </c>
      <c r="F12" s="2" t="s">
        <v>59</v>
      </c>
      <c r="G12" s="2" t="s">
        <v>16</v>
      </c>
      <c r="H12" s="5" t="s">
        <v>60</v>
      </c>
      <c r="I12" s="5" t="s">
        <v>61</v>
      </c>
      <c r="J12" s="6">
        <v>44347</v>
      </c>
      <c r="K12" s="2">
        <v>22</v>
      </c>
      <c r="L12" s="2" t="s">
        <v>62</v>
      </c>
      <c r="M12" s="2" t="s">
        <v>63</v>
      </c>
      <c r="N12" s="2">
        <v>9</v>
      </c>
    </row>
    <row r="13" spans="1:14" x14ac:dyDescent="0.2">
      <c r="A13" s="2" t="s">
        <v>64</v>
      </c>
      <c r="B13" s="2">
        <v>39</v>
      </c>
      <c r="C13" s="2">
        <v>0</v>
      </c>
      <c r="D13" s="2">
        <v>39</v>
      </c>
      <c r="E13" s="2" t="str">
        <f t="shared" si="0"/>
        <v>SPRING</v>
      </c>
      <c r="F13" s="2" t="s">
        <v>65</v>
      </c>
      <c r="G13" s="2" t="s">
        <v>16</v>
      </c>
      <c r="H13" s="5" t="s">
        <v>66</v>
      </c>
      <c r="I13" s="5" t="s">
        <v>67</v>
      </c>
      <c r="J13" s="6">
        <v>44743</v>
      </c>
      <c r="K13" s="2">
        <v>26</v>
      </c>
      <c r="L13" s="2" t="s">
        <v>68</v>
      </c>
      <c r="M13" s="2" t="s">
        <v>69</v>
      </c>
      <c r="N13" s="2">
        <v>10</v>
      </c>
    </row>
    <row r="14" spans="1:14" x14ac:dyDescent="0.2">
      <c r="A14" s="2" t="s">
        <v>70</v>
      </c>
      <c r="B14" s="2">
        <v>16</v>
      </c>
      <c r="C14" s="2">
        <v>0</v>
      </c>
      <c r="D14" s="2">
        <v>16</v>
      </c>
      <c r="E14" s="2" t="str">
        <f t="shared" si="0"/>
        <v>SPRING</v>
      </c>
      <c r="F14" s="2" t="s">
        <v>71</v>
      </c>
      <c r="G14" s="2" t="s">
        <v>16</v>
      </c>
      <c r="H14" s="5" t="s">
        <v>72</v>
      </c>
      <c r="I14" s="5" t="s">
        <v>73</v>
      </c>
      <c r="J14" s="6">
        <v>44361</v>
      </c>
      <c r="K14" s="2">
        <v>24</v>
      </c>
      <c r="L14" s="2" t="s">
        <v>74</v>
      </c>
      <c r="M14" s="2" t="s">
        <v>75</v>
      </c>
      <c r="N14" s="2">
        <v>11</v>
      </c>
    </row>
    <row r="15" spans="1:14" x14ac:dyDescent="0.2">
      <c r="A15" s="2" t="s">
        <v>76</v>
      </c>
      <c r="B15" s="2">
        <v>21</v>
      </c>
      <c r="C15" s="2">
        <v>0</v>
      </c>
      <c r="D15" s="2">
        <v>21</v>
      </c>
      <c r="E15" s="2" t="str">
        <f t="shared" si="0"/>
        <v>SPRING</v>
      </c>
      <c r="F15" s="2" t="s">
        <v>77</v>
      </c>
      <c r="G15" s="2" t="s">
        <v>16</v>
      </c>
      <c r="H15" s="5" t="s">
        <v>78</v>
      </c>
      <c r="I15" s="5" t="s">
        <v>79</v>
      </c>
      <c r="J15" s="6">
        <v>44344</v>
      </c>
      <c r="K15" s="2">
        <v>21</v>
      </c>
      <c r="L15" s="2" t="s">
        <v>80</v>
      </c>
      <c r="M15" s="2" t="s">
        <v>81</v>
      </c>
      <c r="N15" s="2">
        <v>12</v>
      </c>
    </row>
    <row r="16" spans="1:14" x14ac:dyDescent="0.2">
      <c r="A16" s="2" t="s">
        <v>82</v>
      </c>
      <c r="B16" s="2">
        <v>15</v>
      </c>
      <c r="C16" s="2">
        <v>0</v>
      </c>
      <c r="D16" s="2">
        <v>15</v>
      </c>
      <c r="E16" s="2" t="str">
        <f t="shared" si="0"/>
        <v>SPRING</v>
      </c>
      <c r="F16" s="2" t="s">
        <v>83</v>
      </c>
      <c r="G16" s="2" t="s">
        <v>16</v>
      </c>
      <c r="H16" s="5" t="s">
        <v>78</v>
      </c>
      <c r="I16" s="5" t="s">
        <v>84</v>
      </c>
      <c r="J16" s="6">
        <v>44364</v>
      </c>
      <c r="K16" s="2">
        <v>24</v>
      </c>
      <c r="L16" s="2" t="s">
        <v>85</v>
      </c>
      <c r="M16" s="2" t="s">
        <v>86</v>
      </c>
      <c r="N16" s="2">
        <v>13</v>
      </c>
    </row>
    <row r="17" spans="1:14" x14ac:dyDescent="0.2">
      <c r="A17" s="2" t="s">
        <v>87</v>
      </c>
      <c r="B17" s="2">
        <v>49</v>
      </c>
      <c r="C17" s="2">
        <v>0</v>
      </c>
      <c r="D17" s="2">
        <v>49</v>
      </c>
      <c r="E17" s="2" t="str">
        <f t="shared" si="0"/>
        <v>SPRING</v>
      </c>
      <c r="F17" s="2" t="s">
        <v>88</v>
      </c>
      <c r="G17" s="2" t="s">
        <v>16</v>
      </c>
      <c r="H17" s="5" t="s">
        <v>89</v>
      </c>
      <c r="I17" s="5" t="s">
        <v>90</v>
      </c>
      <c r="J17" s="6">
        <v>44350</v>
      </c>
      <c r="K17" s="2">
        <v>22</v>
      </c>
      <c r="L17" s="2" t="s">
        <v>91</v>
      </c>
      <c r="M17" s="2" t="s">
        <v>63</v>
      </c>
      <c r="N17" s="2">
        <v>14</v>
      </c>
    </row>
    <row r="18" spans="1:14" x14ac:dyDescent="0.2">
      <c r="A18" s="2" t="s">
        <v>92</v>
      </c>
      <c r="B18" s="2">
        <v>46</v>
      </c>
      <c r="C18" s="2">
        <v>0</v>
      </c>
      <c r="D18" s="2">
        <v>46</v>
      </c>
      <c r="E18" s="2" t="str">
        <f t="shared" si="0"/>
        <v>SPRING</v>
      </c>
      <c r="F18" s="2" t="s">
        <v>93</v>
      </c>
      <c r="G18" s="2" t="s">
        <v>16</v>
      </c>
      <c r="H18" s="5" t="s">
        <v>94</v>
      </c>
      <c r="I18" s="5" t="s">
        <v>95</v>
      </c>
      <c r="J18" s="6">
        <v>44356</v>
      </c>
      <c r="K18" s="2">
        <v>23</v>
      </c>
      <c r="L18" s="2" t="s">
        <v>96</v>
      </c>
      <c r="M18" s="2" t="s">
        <v>97</v>
      </c>
      <c r="N18" s="2">
        <v>15</v>
      </c>
    </row>
    <row r="19" spans="1:14" x14ac:dyDescent="0.2">
      <c r="A19" s="2" t="s">
        <v>98</v>
      </c>
      <c r="B19" s="2">
        <v>34</v>
      </c>
      <c r="C19" s="2">
        <v>0</v>
      </c>
      <c r="D19" s="2">
        <v>34</v>
      </c>
      <c r="E19" s="2" t="str">
        <f t="shared" si="0"/>
        <v>SPRING</v>
      </c>
      <c r="F19" s="2" t="s">
        <v>65</v>
      </c>
      <c r="G19" s="2" t="s">
        <v>16</v>
      </c>
      <c r="H19" s="5" t="s">
        <v>99</v>
      </c>
      <c r="I19" s="5" t="s">
        <v>100</v>
      </c>
      <c r="J19" s="6">
        <v>44743</v>
      </c>
      <c r="K19" s="2">
        <v>26</v>
      </c>
      <c r="L19" s="2" t="s">
        <v>101</v>
      </c>
      <c r="M19" s="2" t="s">
        <v>102</v>
      </c>
      <c r="N19" s="2">
        <v>16</v>
      </c>
    </row>
    <row r="20" spans="1:14" x14ac:dyDescent="0.2">
      <c r="A20" s="2" t="s">
        <v>103</v>
      </c>
      <c r="B20" s="2">
        <v>15</v>
      </c>
      <c r="C20" s="2">
        <v>0</v>
      </c>
      <c r="D20" s="2">
        <v>15</v>
      </c>
      <c r="E20" s="2" t="str">
        <f t="shared" si="0"/>
        <v>SPRING</v>
      </c>
      <c r="F20" s="2" t="s">
        <v>104</v>
      </c>
      <c r="G20" s="2" t="s">
        <v>16</v>
      </c>
      <c r="H20" s="5" t="s">
        <v>105</v>
      </c>
      <c r="I20" s="5" t="s">
        <v>106</v>
      </c>
      <c r="J20" s="6">
        <v>44361</v>
      </c>
      <c r="K20" s="2">
        <v>24</v>
      </c>
      <c r="L20" s="2" t="s">
        <v>107</v>
      </c>
      <c r="M20" s="2" t="s">
        <v>108</v>
      </c>
      <c r="N20" s="2">
        <v>17</v>
      </c>
    </row>
    <row r="21" spans="1:14" x14ac:dyDescent="0.2">
      <c r="A21" s="2" t="s">
        <v>109</v>
      </c>
      <c r="B21" s="2">
        <v>41</v>
      </c>
      <c r="C21" s="2">
        <v>0</v>
      </c>
      <c r="D21" s="2">
        <v>41</v>
      </c>
      <c r="E21" s="2" t="str">
        <f t="shared" si="0"/>
        <v>SPRING</v>
      </c>
      <c r="F21" s="2" t="s">
        <v>110</v>
      </c>
      <c r="G21" s="2" t="s">
        <v>16</v>
      </c>
      <c r="H21" s="5" t="s">
        <v>111</v>
      </c>
      <c r="I21" s="5" t="s">
        <v>112</v>
      </c>
      <c r="J21" s="6">
        <v>44342</v>
      </c>
      <c r="K21" s="2">
        <v>21</v>
      </c>
      <c r="L21" s="2" t="s">
        <v>113</v>
      </c>
      <c r="M21" s="2" t="s">
        <v>114</v>
      </c>
      <c r="N21" s="2">
        <v>18</v>
      </c>
    </row>
    <row r="22" spans="1:14" x14ac:dyDescent="0.2">
      <c r="A22" s="2" t="s">
        <v>115</v>
      </c>
      <c r="B22" s="2">
        <v>50</v>
      </c>
      <c r="C22" s="2">
        <v>0</v>
      </c>
      <c r="D22" s="2">
        <v>50</v>
      </c>
      <c r="E22" s="2" t="str">
        <f t="shared" si="0"/>
        <v>SPRING</v>
      </c>
      <c r="F22" s="2" t="s">
        <v>116</v>
      </c>
      <c r="G22" s="2" t="s">
        <v>16</v>
      </c>
      <c r="H22" s="5" t="s">
        <v>117</v>
      </c>
      <c r="I22" s="5" t="s">
        <v>118</v>
      </c>
      <c r="J22" s="6">
        <v>44346</v>
      </c>
      <c r="K22" s="2">
        <v>21</v>
      </c>
      <c r="L22" s="2" t="s">
        <v>119</v>
      </c>
      <c r="M22" s="2" t="s">
        <v>120</v>
      </c>
      <c r="N22" s="2">
        <v>19</v>
      </c>
    </row>
    <row r="23" spans="1:14" x14ac:dyDescent="0.2">
      <c r="A23" s="2" t="s">
        <v>121</v>
      </c>
      <c r="B23" s="2">
        <v>49</v>
      </c>
      <c r="C23" s="2">
        <v>0</v>
      </c>
      <c r="D23" s="2">
        <v>49</v>
      </c>
      <c r="E23" s="2" t="str">
        <f t="shared" si="0"/>
        <v>SPRING</v>
      </c>
      <c r="F23" s="2" t="s">
        <v>122</v>
      </c>
      <c r="G23" s="2" t="s">
        <v>16</v>
      </c>
      <c r="H23" s="5" t="s">
        <v>117</v>
      </c>
      <c r="I23" s="5" t="s">
        <v>123</v>
      </c>
      <c r="J23" s="6">
        <v>44340</v>
      </c>
      <c r="K23" s="2">
        <v>21</v>
      </c>
      <c r="L23" s="2" t="s">
        <v>124</v>
      </c>
      <c r="M23" s="2" t="s">
        <v>125</v>
      </c>
      <c r="N23" s="2">
        <v>20</v>
      </c>
    </row>
    <row r="24" spans="1:14" x14ac:dyDescent="0.2">
      <c r="A24" s="2" t="s">
        <v>126</v>
      </c>
      <c r="B24" s="2">
        <v>49</v>
      </c>
      <c r="C24" s="2">
        <v>0</v>
      </c>
      <c r="D24" s="2">
        <v>49</v>
      </c>
      <c r="E24" s="2" t="str">
        <f t="shared" si="0"/>
        <v>SPRING</v>
      </c>
      <c r="F24" s="2" t="s">
        <v>127</v>
      </c>
      <c r="G24" s="2" t="s">
        <v>16</v>
      </c>
      <c r="H24" s="5" t="s">
        <v>128</v>
      </c>
      <c r="I24" s="5" t="s">
        <v>129</v>
      </c>
      <c r="J24" s="6">
        <v>44344</v>
      </c>
      <c r="K24" s="2">
        <v>21</v>
      </c>
      <c r="L24" s="2" t="s">
        <v>130</v>
      </c>
      <c r="M24" s="2" t="s">
        <v>131</v>
      </c>
      <c r="N24" s="2">
        <v>21</v>
      </c>
    </row>
    <row r="25" spans="1:14" x14ac:dyDescent="0.2">
      <c r="A25" s="2" t="s">
        <v>132</v>
      </c>
      <c r="B25" s="2">
        <v>42</v>
      </c>
      <c r="C25" s="2">
        <v>0</v>
      </c>
      <c r="D25" s="2">
        <v>42</v>
      </c>
      <c r="E25" s="2" t="str">
        <f t="shared" si="0"/>
        <v>SPRING</v>
      </c>
      <c r="F25" s="2" t="s">
        <v>133</v>
      </c>
      <c r="G25" s="2" t="s">
        <v>16</v>
      </c>
      <c r="H25" s="5" t="s">
        <v>128</v>
      </c>
      <c r="I25" s="5" t="s">
        <v>134</v>
      </c>
      <c r="J25" s="6">
        <v>44355</v>
      </c>
      <c r="K25" s="2">
        <v>23</v>
      </c>
      <c r="L25" s="2" t="s">
        <v>135</v>
      </c>
      <c r="M25" s="2" t="s">
        <v>136</v>
      </c>
      <c r="N25" s="2">
        <v>22</v>
      </c>
    </row>
    <row r="26" spans="1:14" x14ac:dyDescent="0.2">
      <c r="A26" s="2" t="s">
        <v>137</v>
      </c>
      <c r="B26" s="2">
        <v>50</v>
      </c>
      <c r="C26" s="2">
        <v>0</v>
      </c>
      <c r="D26" s="2">
        <v>50</v>
      </c>
      <c r="E26" s="2" t="str">
        <f t="shared" si="0"/>
        <v>SPRING</v>
      </c>
      <c r="F26" s="2" t="s">
        <v>138</v>
      </c>
      <c r="G26" s="2" t="s">
        <v>16</v>
      </c>
      <c r="H26" s="5" t="s">
        <v>128</v>
      </c>
      <c r="I26" s="5" t="s">
        <v>139</v>
      </c>
      <c r="J26" s="6">
        <v>44349</v>
      </c>
      <c r="K26" s="2">
        <v>22</v>
      </c>
      <c r="L26" s="2" t="s">
        <v>140</v>
      </c>
      <c r="M26" s="2" t="s">
        <v>26</v>
      </c>
      <c r="N26" s="2">
        <v>23</v>
      </c>
    </row>
    <row r="27" spans="1:14" x14ac:dyDescent="0.2">
      <c r="A27" s="2" t="s">
        <v>141</v>
      </c>
      <c r="B27" s="2">
        <v>49</v>
      </c>
      <c r="C27" s="2">
        <v>0</v>
      </c>
      <c r="D27" s="2">
        <v>49</v>
      </c>
      <c r="E27" s="2" t="str">
        <f t="shared" si="0"/>
        <v>SPRING</v>
      </c>
      <c r="F27" s="2" t="s">
        <v>142</v>
      </c>
      <c r="G27" s="2" t="s">
        <v>16</v>
      </c>
      <c r="H27" s="5" t="s">
        <v>143</v>
      </c>
      <c r="I27" s="5" t="s">
        <v>144</v>
      </c>
      <c r="J27" s="6">
        <v>44344</v>
      </c>
      <c r="K27" s="2">
        <v>21</v>
      </c>
      <c r="L27" s="2" t="s">
        <v>145</v>
      </c>
      <c r="M27" s="2" t="s">
        <v>146</v>
      </c>
      <c r="N27" s="2">
        <v>24</v>
      </c>
    </row>
    <row r="28" spans="1:14" x14ac:dyDescent="0.2">
      <c r="A28" s="2" t="s">
        <v>147</v>
      </c>
      <c r="B28" s="2">
        <v>31</v>
      </c>
      <c r="C28" s="2">
        <v>0</v>
      </c>
      <c r="D28" s="2">
        <v>31</v>
      </c>
      <c r="E28" s="2" t="str">
        <f t="shared" si="0"/>
        <v>SPRING</v>
      </c>
      <c r="F28" s="2" t="s">
        <v>148</v>
      </c>
      <c r="G28" s="2" t="s">
        <v>16</v>
      </c>
      <c r="H28" s="5" t="s">
        <v>149</v>
      </c>
      <c r="I28" s="5" t="s">
        <v>150</v>
      </c>
      <c r="J28" s="6">
        <v>44354</v>
      </c>
      <c r="K28" s="2">
        <v>23</v>
      </c>
      <c r="L28" s="2" t="s">
        <v>151</v>
      </c>
      <c r="M28" s="2" t="s">
        <v>152</v>
      </c>
      <c r="N28" s="2">
        <v>25</v>
      </c>
    </row>
    <row r="29" spans="1:14" x14ac:dyDescent="0.2">
      <c r="A29" s="2" t="s">
        <v>153</v>
      </c>
      <c r="B29" s="2">
        <v>14</v>
      </c>
      <c r="C29" s="2">
        <v>0</v>
      </c>
      <c r="D29" s="2">
        <v>14</v>
      </c>
      <c r="E29" s="2" t="str">
        <f t="shared" si="0"/>
        <v>SPRING</v>
      </c>
      <c r="F29" s="2" t="s">
        <v>122</v>
      </c>
      <c r="G29" s="2" t="s">
        <v>16</v>
      </c>
      <c r="H29" s="5" t="s">
        <v>154</v>
      </c>
      <c r="I29" s="5" t="s">
        <v>155</v>
      </c>
      <c r="J29" s="6">
        <v>44361</v>
      </c>
      <c r="K29" s="2">
        <v>24</v>
      </c>
      <c r="L29" s="2" t="s">
        <v>156</v>
      </c>
      <c r="M29" s="2" t="s">
        <v>157</v>
      </c>
      <c r="N29" s="2">
        <v>26</v>
      </c>
    </row>
    <row r="30" spans="1:14" x14ac:dyDescent="0.2">
      <c r="A30" s="2" t="s">
        <v>158</v>
      </c>
      <c r="B30" s="2">
        <v>50</v>
      </c>
      <c r="C30" s="2">
        <v>0</v>
      </c>
      <c r="D30" s="2">
        <v>50</v>
      </c>
      <c r="E30" s="2" t="str">
        <f t="shared" si="0"/>
        <v>SPRING</v>
      </c>
      <c r="F30" s="2" t="s">
        <v>159</v>
      </c>
      <c r="G30" s="2" t="s">
        <v>16</v>
      </c>
      <c r="H30" s="5" t="s">
        <v>160</v>
      </c>
      <c r="I30" s="5" t="s">
        <v>161</v>
      </c>
      <c r="J30" s="6">
        <v>44344</v>
      </c>
      <c r="K30" s="2">
        <v>21</v>
      </c>
      <c r="L30" s="2" t="s">
        <v>162</v>
      </c>
      <c r="M30" s="2" t="s">
        <v>163</v>
      </c>
      <c r="N30" s="2">
        <v>27</v>
      </c>
    </row>
    <row r="31" spans="1:14" x14ac:dyDescent="0.2">
      <c r="A31" s="2" t="s">
        <v>164</v>
      </c>
      <c r="B31" s="2">
        <v>49</v>
      </c>
      <c r="C31" s="2">
        <v>0</v>
      </c>
      <c r="D31" s="2">
        <v>49</v>
      </c>
      <c r="E31" s="2" t="str">
        <f t="shared" si="0"/>
        <v>SPRING</v>
      </c>
      <c r="F31" s="2" t="s">
        <v>165</v>
      </c>
      <c r="G31" s="2" t="s">
        <v>16</v>
      </c>
      <c r="H31" s="5" t="s">
        <v>166</v>
      </c>
      <c r="I31" s="5" t="s">
        <v>167</v>
      </c>
      <c r="J31" s="6">
        <v>44341</v>
      </c>
      <c r="K31" s="2">
        <v>21</v>
      </c>
      <c r="L31" s="2" t="s">
        <v>168</v>
      </c>
      <c r="M31" s="2" t="s">
        <v>169</v>
      </c>
      <c r="N31" s="2">
        <v>28</v>
      </c>
    </row>
    <row r="32" spans="1:14" x14ac:dyDescent="0.2">
      <c r="A32" s="2" t="s">
        <v>170</v>
      </c>
      <c r="B32" s="2">
        <v>26</v>
      </c>
      <c r="C32" s="2">
        <v>0</v>
      </c>
      <c r="D32" s="2">
        <v>26</v>
      </c>
      <c r="E32" s="2" t="str">
        <f t="shared" si="0"/>
        <v>SPRING</v>
      </c>
      <c r="F32" s="2" t="s">
        <v>165</v>
      </c>
      <c r="G32" s="2" t="s">
        <v>16</v>
      </c>
      <c r="H32" s="5" t="s">
        <v>171</v>
      </c>
      <c r="I32" s="5" t="s">
        <v>172</v>
      </c>
      <c r="J32" s="6">
        <v>44361</v>
      </c>
      <c r="K32" s="2">
        <v>24</v>
      </c>
      <c r="L32" s="2" t="s">
        <v>173</v>
      </c>
      <c r="M32" s="2" t="s">
        <v>174</v>
      </c>
      <c r="N32" s="2">
        <v>29</v>
      </c>
    </row>
    <row r="33" spans="1:14" x14ac:dyDescent="0.2">
      <c r="A33" s="2" t="s">
        <v>175</v>
      </c>
      <c r="B33" s="2">
        <v>11</v>
      </c>
      <c r="C33" s="2">
        <v>0</v>
      </c>
      <c r="D33" s="2">
        <v>11</v>
      </c>
      <c r="E33" s="2" t="str">
        <f t="shared" si="0"/>
        <v>SPRING</v>
      </c>
      <c r="F33" s="2" t="s">
        <v>176</v>
      </c>
      <c r="G33" s="2" t="s">
        <v>16</v>
      </c>
      <c r="H33" s="5" t="s">
        <v>177</v>
      </c>
      <c r="I33" s="5" t="s">
        <v>178</v>
      </c>
      <c r="J33" s="6">
        <v>44351</v>
      </c>
      <c r="K33" s="2">
        <v>22</v>
      </c>
      <c r="L33" s="2" t="s">
        <v>179</v>
      </c>
      <c r="M33" s="2" t="s">
        <v>180</v>
      </c>
      <c r="N33" s="2">
        <v>30</v>
      </c>
    </row>
    <row r="34" spans="1:14" x14ac:dyDescent="0.2">
      <c r="A34" s="2" t="s">
        <v>181</v>
      </c>
      <c r="B34" s="2">
        <v>27</v>
      </c>
      <c r="C34" s="2">
        <v>0</v>
      </c>
      <c r="D34" s="2">
        <v>27</v>
      </c>
      <c r="E34" s="2" t="str">
        <f t="shared" si="0"/>
        <v>SPRING</v>
      </c>
      <c r="F34" s="2" t="s">
        <v>182</v>
      </c>
      <c r="G34" s="2" t="s">
        <v>16</v>
      </c>
      <c r="H34" s="5" t="s">
        <v>183</v>
      </c>
      <c r="I34" s="5" t="s">
        <v>184</v>
      </c>
      <c r="J34" s="6">
        <v>44347</v>
      </c>
      <c r="K34" s="2">
        <v>22</v>
      </c>
      <c r="L34" s="2" t="s">
        <v>185</v>
      </c>
      <c r="M34" s="2" t="s">
        <v>186</v>
      </c>
      <c r="N34" s="2">
        <v>31</v>
      </c>
    </row>
    <row r="35" spans="1:14" x14ac:dyDescent="0.2">
      <c r="A35" s="2" t="s">
        <v>187</v>
      </c>
      <c r="B35" s="2">
        <v>50</v>
      </c>
      <c r="C35" s="2">
        <v>0</v>
      </c>
      <c r="D35" s="2">
        <v>50</v>
      </c>
      <c r="E35" s="2" t="str">
        <f t="shared" si="0"/>
        <v>SPRING</v>
      </c>
      <c r="F35" s="2" t="s">
        <v>188</v>
      </c>
      <c r="G35" s="2" t="s">
        <v>50</v>
      </c>
      <c r="H35" s="5" t="s">
        <v>189</v>
      </c>
      <c r="I35" s="5" t="s">
        <v>190</v>
      </c>
      <c r="J35" s="6">
        <v>44685</v>
      </c>
      <c r="K35" s="2">
        <v>18</v>
      </c>
      <c r="L35" s="2" t="s">
        <v>191</v>
      </c>
      <c r="M35" s="2" t="s">
        <v>192</v>
      </c>
      <c r="N35" s="2">
        <v>32</v>
      </c>
    </row>
    <row r="36" spans="1:14" x14ac:dyDescent="0.2">
      <c r="A36" s="2" t="s">
        <v>193</v>
      </c>
      <c r="B36" s="2">
        <v>28</v>
      </c>
      <c r="C36" s="2">
        <v>0</v>
      </c>
      <c r="D36" s="2">
        <v>28</v>
      </c>
      <c r="E36" s="2" t="str">
        <f t="shared" si="0"/>
        <v>SPRING</v>
      </c>
      <c r="F36" s="2" t="s">
        <v>194</v>
      </c>
      <c r="G36" s="2" t="s">
        <v>50</v>
      </c>
      <c r="H36" s="5" t="s">
        <v>195</v>
      </c>
      <c r="I36" s="5" t="s">
        <v>196</v>
      </c>
      <c r="J36" s="6">
        <v>44715</v>
      </c>
      <c r="K36" s="2">
        <v>22</v>
      </c>
      <c r="L36" s="2" t="s">
        <v>197</v>
      </c>
      <c r="M36" s="2" t="s">
        <v>198</v>
      </c>
      <c r="N36" s="2">
        <v>33</v>
      </c>
    </row>
    <row r="37" spans="1:14" x14ac:dyDescent="0.2">
      <c r="A37" s="2" t="s">
        <v>199</v>
      </c>
      <c r="B37" s="2">
        <v>15</v>
      </c>
      <c r="C37" s="2">
        <v>0</v>
      </c>
      <c r="D37" s="2">
        <v>15</v>
      </c>
      <c r="E37" s="2" t="str">
        <f t="shared" si="0"/>
        <v>SPRING</v>
      </c>
      <c r="F37" s="2" t="s">
        <v>200</v>
      </c>
      <c r="G37" s="2" t="s">
        <v>50</v>
      </c>
      <c r="H37" s="5" t="s">
        <v>201</v>
      </c>
      <c r="I37" s="5" t="s">
        <v>202</v>
      </c>
      <c r="J37" s="6">
        <v>44338</v>
      </c>
      <c r="K37" s="2">
        <v>20</v>
      </c>
      <c r="L37" s="2" t="s">
        <v>203</v>
      </c>
      <c r="M37" s="2" t="s">
        <v>204</v>
      </c>
      <c r="N37" s="2">
        <v>34</v>
      </c>
    </row>
    <row r="38" spans="1:14" x14ac:dyDescent="0.2">
      <c r="A38" s="2" t="s">
        <v>205</v>
      </c>
      <c r="B38" s="2">
        <v>24</v>
      </c>
      <c r="C38" s="2">
        <v>0</v>
      </c>
      <c r="D38" s="2">
        <v>24</v>
      </c>
      <c r="E38" s="2" t="str">
        <f t="shared" si="0"/>
        <v>SPRING</v>
      </c>
      <c r="F38" s="2" t="s">
        <v>206</v>
      </c>
      <c r="G38" s="2" t="s">
        <v>50</v>
      </c>
      <c r="H38" s="5" t="s">
        <v>207</v>
      </c>
      <c r="I38" s="5" t="s">
        <v>208</v>
      </c>
      <c r="J38" s="6">
        <v>44326</v>
      </c>
      <c r="K38" s="2">
        <v>19</v>
      </c>
      <c r="L38" s="2" t="s">
        <v>209</v>
      </c>
      <c r="M38" s="2" t="s">
        <v>210</v>
      </c>
      <c r="N38" s="2">
        <v>35</v>
      </c>
    </row>
    <row r="39" spans="1:14" x14ac:dyDescent="0.2">
      <c r="A39" s="2" t="s">
        <v>211</v>
      </c>
      <c r="B39" s="2">
        <v>28</v>
      </c>
      <c r="C39" s="2">
        <v>0</v>
      </c>
      <c r="D39" s="2">
        <v>28</v>
      </c>
      <c r="E39" s="2" t="str">
        <f t="shared" si="0"/>
        <v>SPRING</v>
      </c>
      <c r="F39" s="2" t="s">
        <v>206</v>
      </c>
      <c r="G39" s="2" t="s">
        <v>50</v>
      </c>
      <c r="H39" s="5" t="s">
        <v>207</v>
      </c>
      <c r="I39" s="5" t="s">
        <v>208</v>
      </c>
      <c r="J39" s="6">
        <v>44678</v>
      </c>
      <c r="K39" s="2">
        <v>17</v>
      </c>
      <c r="L39" s="2" t="s">
        <v>212</v>
      </c>
      <c r="M39" s="2" t="s">
        <v>213</v>
      </c>
      <c r="N39" s="2">
        <v>36</v>
      </c>
    </row>
    <row r="40" spans="1:14" x14ac:dyDescent="0.2">
      <c r="A40" s="2" t="s">
        <v>214</v>
      </c>
      <c r="B40" s="2">
        <v>11</v>
      </c>
      <c r="C40" s="2">
        <v>0</v>
      </c>
      <c r="D40" s="2">
        <v>11</v>
      </c>
      <c r="E40" s="2" t="str">
        <f t="shared" si="0"/>
        <v>SPRING</v>
      </c>
      <c r="F40" s="2" t="s">
        <v>215</v>
      </c>
      <c r="G40" s="2" t="s">
        <v>50</v>
      </c>
      <c r="H40" s="5" t="s">
        <v>216</v>
      </c>
      <c r="I40" s="5" t="s">
        <v>217</v>
      </c>
      <c r="J40" s="6">
        <v>44339</v>
      </c>
      <c r="K40" s="2">
        <v>20</v>
      </c>
      <c r="L40" s="2" t="s">
        <v>218</v>
      </c>
      <c r="M40" s="2" t="s">
        <v>219</v>
      </c>
      <c r="N40" s="2">
        <v>37</v>
      </c>
    </row>
    <row r="41" spans="1:14" x14ac:dyDescent="0.2">
      <c r="A41" s="2" t="s">
        <v>220</v>
      </c>
      <c r="B41" s="2">
        <v>50</v>
      </c>
      <c r="C41" s="2">
        <v>0</v>
      </c>
      <c r="D41" s="2">
        <v>50</v>
      </c>
      <c r="E41" s="2" t="str">
        <f t="shared" si="0"/>
        <v>SPRING</v>
      </c>
      <c r="F41" s="2" t="s">
        <v>221</v>
      </c>
      <c r="G41" s="2" t="s">
        <v>50</v>
      </c>
      <c r="H41" s="5" t="s">
        <v>222</v>
      </c>
      <c r="I41" s="5" t="s">
        <v>223</v>
      </c>
      <c r="J41" s="6">
        <v>44342</v>
      </c>
      <c r="K41" s="2">
        <v>21</v>
      </c>
      <c r="L41" s="2" t="s">
        <v>224</v>
      </c>
      <c r="M41" s="2" t="s">
        <v>225</v>
      </c>
      <c r="N41" s="2">
        <v>38</v>
      </c>
    </row>
    <row r="42" spans="1:14" x14ac:dyDescent="0.2">
      <c r="A42" s="2" t="s">
        <v>226</v>
      </c>
      <c r="B42" s="2">
        <v>19</v>
      </c>
      <c r="C42" s="2">
        <v>0</v>
      </c>
      <c r="D42" s="2">
        <v>19</v>
      </c>
      <c r="E42" s="2" t="str">
        <f t="shared" si="0"/>
        <v>SPRING</v>
      </c>
      <c r="F42" s="2" t="s">
        <v>227</v>
      </c>
      <c r="G42" s="2" t="s">
        <v>50</v>
      </c>
      <c r="H42" s="5" t="s">
        <v>228</v>
      </c>
      <c r="I42" s="5" t="s">
        <v>229</v>
      </c>
      <c r="J42" s="6">
        <v>44349</v>
      </c>
      <c r="K42" s="2">
        <v>22</v>
      </c>
      <c r="L42" s="2" t="s">
        <v>230</v>
      </c>
      <c r="M42" s="2" t="s">
        <v>231</v>
      </c>
      <c r="N42" s="2">
        <v>39</v>
      </c>
    </row>
    <row r="43" spans="1:14" x14ac:dyDescent="0.2">
      <c r="A43" s="2" t="s">
        <v>232</v>
      </c>
      <c r="B43" s="2">
        <v>12</v>
      </c>
      <c r="C43" s="2">
        <v>0</v>
      </c>
      <c r="D43" s="2">
        <v>12</v>
      </c>
      <c r="E43" s="2" t="str">
        <f t="shared" si="0"/>
        <v>SPRING</v>
      </c>
      <c r="F43" s="2" t="s">
        <v>233</v>
      </c>
      <c r="G43" s="2" t="s">
        <v>50</v>
      </c>
      <c r="H43" s="5" t="s">
        <v>234</v>
      </c>
      <c r="I43" s="5" t="s">
        <v>235</v>
      </c>
      <c r="J43" s="6">
        <v>44354</v>
      </c>
      <c r="K43" s="2">
        <v>23</v>
      </c>
      <c r="L43" s="2" t="s">
        <v>236</v>
      </c>
      <c r="M43" s="2" t="s">
        <v>237</v>
      </c>
      <c r="N43" s="2">
        <v>40</v>
      </c>
    </row>
    <row r="44" spans="1:14" x14ac:dyDescent="0.2">
      <c r="A44" s="2" t="s">
        <v>238</v>
      </c>
      <c r="B44" s="2">
        <v>40</v>
      </c>
      <c r="C44" s="2">
        <v>0</v>
      </c>
      <c r="D44" s="2">
        <v>40</v>
      </c>
      <c r="E44" s="2" t="str">
        <f t="shared" si="0"/>
        <v>SPRING</v>
      </c>
      <c r="F44" s="2" t="s">
        <v>239</v>
      </c>
      <c r="G44" s="2" t="s">
        <v>50</v>
      </c>
      <c r="H44" s="5" t="s">
        <v>240</v>
      </c>
      <c r="I44" s="5" t="s">
        <v>241</v>
      </c>
      <c r="J44" s="6">
        <v>44350</v>
      </c>
      <c r="K44" s="2">
        <v>22</v>
      </c>
      <c r="L44" s="2" t="s">
        <v>242</v>
      </c>
      <c r="M44" s="2" t="s">
        <v>243</v>
      </c>
      <c r="N44" s="2">
        <v>41</v>
      </c>
    </row>
    <row r="45" spans="1:14" x14ac:dyDescent="0.2">
      <c r="A45" s="2" t="s">
        <v>244</v>
      </c>
      <c r="B45" s="2">
        <v>11</v>
      </c>
      <c r="C45" s="2">
        <v>0</v>
      </c>
      <c r="D45" s="2">
        <v>11</v>
      </c>
      <c r="E45" s="2" t="str">
        <f t="shared" si="0"/>
        <v>SPRING</v>
      </c>
      <c r="F45" s="2" t="s">
        <v>245</v>
      </c>
      <c r="G45" s="2" t="s">
        <v>50</v>
      </c>
      <c r="H45" s="5" t="s">
        <v>246</v>
      </c>
      <c r="I45" s="5" t="s">
        <v>247</v>
      </c>
      <c r="J45" s="6">
        <v>44680</v>
      </c>
      <c r="K45" s="2">
        <v>17</v>
      </c>
      <c r="L45" s="2" t="s">
        <v>248</v>
      </c>
      <c r="M45" s="2" t="s">
        <v>249</v>
      </c>
      <c r="N45" s="2">
        <v>42</v>
      </c>
    </row>
    <row r="46" spans="1:14" x14ac:dyDescent="0.2">
      <c r="A46" s="2" t="s">
        <v>250</v>
      </c>
      <c r="B46" s="2">
        <v>23</v>
      </c>
      <c r="C46" s="2">
        <v>0</v>
      </c>
      <c r="D46" s="2">
        <v>23</v>
      </c>
      <c r="E46" s="2" t="str">
        <f t="shared" si="0"/>
        <v>SPRING</v>
      </c>
      <c r="F46" s="2" t="s">
        <v>251</v>
      </c>
      <c r="G46" s="2" t="s">
        <v>16</v>
      </c>
      <c r="H46" s="5" t="s">
        <v>252</v>
      </c>
      <c r="I46" s="5" t="s">
        <v>253</v>
      </c>
      <c r="J46" s="6">
        <v>44383</v>
      </c>
      <c r="K46" s="2">
        <v>27</v>
      </c>
      <c r="L46" s="2" t="s">
        <v>254</v>
      </c>
      <c r="M46" s="2" t="s">
        <v>255</v>
      </c>
      <c r="N46" s="2">
        <v>43</v>
      </c>
    </row>
    <row r="47" spans="1:14" x14ac:dyDescent="0.2">
      <c r="A47" s="2" t="s">
        <v>256</v>
      </c>
      <c r="B47" s="2">
        <v>28</v>
      </c>
      <c r="C47" s="2">
        <v>0</v>
      </c>
      <c r="D47" s="2">
        <v>28</v>
      </c>
      <c r="E47" s="2" t="str">
        <f t="shared" si="0"/>
        <v>SPRING</v>
      </c>
      <c r="F47" s="2" t="s">
        <v>257</v>
      </c>
      <c r="G47" s="2" t="s">
        <v>50</v>
      </c>
      <c r="H47" s="5" t="s">
        <v>258</v>
      </c>
      <c r="I47" s="5" t="s">
        <v>259</v>
      </c>
      <c r="J47" s="6">
        <v>44351</v>
      </c>
      <c r="K47" s="2">
        <v>22</v>
      </c>
      <c r="L47" s="2" t="s">
        <v>260</v>
      </c>
      <c r="M47" s="2" t="s">
        <v>261</v>
      </c>
      <c r="N47" s="2">
        <v>44</v>
      </c>
    </row>
    <row r="48" spans="1:14" x14ac:dyDescent="0.2">
      <c r="A48" s="2" t="s">
        <v>262</v>
      </c>
      <c r="B48" s="2">
        <v>26</v>
      </c>
      <c r="C48" s="2">
        <v>0</v>
      </c>
      <c r="D48" s="2">
        <v>26</v>
      </c>
      <c r="E48" s="2" t="str">
        <f t="shared" si="0"/>
        <v>SPRING</v>
      </c>
      <c r="F48" s="2" t="s">
        <v>263</v>
      </c>
      <c r="G48" s="2" t="s">
        <v>50</v>
      </c>
      <c r="H48" s="5" t="s">
        <v>264</v>
      </c>
      <c r="I48" s="5" t="s">
        <v>265</v>
      </c>
      <c r="J48" s="6">
        <v>44358</v>
      </c>
      <c r="K48" s="2">
        <v>23</v>
      </c>
      <c r="L48" s="2" t="s">
        <v>266</v>
      </c>
      <c r="M48" s="2" t="s">
        <v>267</v>
      </c>
      <c r="N48" s="2">
        <v>45</v>
      </c>
    </row>
    <row r="49" spans="1:14" x14ac:dyDescent="0.2">
      <c r="A49" s="2" t="s">
        <v>268</v>
      </c>
      <c r="B49" s="2">
        <v>30</v>
      </c>
      <c r="C49" s="2">
        <v>0</v>
      </c>
      <c r="D49" s="2">
        <v>30</v>
      </c>
      <c r="E49" s="2" t="str">
        <f t="shared" si="0"/>
        <v>SPRING</v>
      </c>
      <c r="F49" s="2" t="s">
        <v>269</v>
      </c>
      <c r="G49" s="2" t="s">
        <v>50</v>
      </c>
      <c r="H49" s="5" t="s">
        <v>270</v>
      </c>
      <c r="I49" s="5" t="s">
        <v>271</v>
      </c>
      <c r="J49" s="6">
        <v>44357</v>
      </c>
      <c r="K49" s="2">
        <v>23</v>
      </c>
      <c r="L49" s="2" t="s">
        <v>272</v>
      </c>
      <c r="M49" s="2" t="s">
        <v>273</v>
      </c>
      <c r="N49" s="2">
        <v>46</v>
      </c>
    </row>
    <row r="50" spans="1:14" x14ac:dyDescent="0.2">
      <c r="A50" s="2" t="s">
        <v>274</v>
      </c>
      <c r="B50" s="2">
        <v>38</v>
      </c>
      <c r="C50" s="2">
        <v>0</v>
      </c>
      <c r="D50" s="2">
        <v>38</v>
      </c>
      <c r="E50" s="2" t="str">
        <f t="shared" si="0"/>
        <v>SPRING</v>
      </c>
      <c r="F50" s="2" t="s">
        <v>275</v>
      </c>
      <c r="G50" s="2" t="s">
        <v>50</v>
      </c>
      <c r="H50" s="5" t="s">
        <v>276</v>
      </c>
      <c r="I50" s="5" t="s">
        <v>277</v>
      </c>
      <c r="J50" s="6">
        <v>44366</v>
      </c>
      <c r="K50" s="2">
        <v>24</v>
      </c>
      <c r="L50" s="2" t="s">
        <v>278</v>
      </c>
      <c r="M50" s="2" t="s">
        <v>279</v>
      </c>
      <c r="N50" s="2">
        <v>47</v>
      </c>
    </row>
    <row r="51" spans="1:14" x14ac:dyDescent="0.2">
      <c r="A51" s="2" t="s">
        <v>280</v>
      </c>
      <c r="B51" s="2">
        <v>11</v>
      </c>
      <c r="C51" s="2">
        <v>0</v>
      </c>
      <c r="D51" s="2">
        <v>11</v>
      </c>
      <c r="E51" s="2" t="str">
        <f t="shared" si="0"/>
        <v>SPRING</v>
      </c>
      <c r="F51" s="2" t="s">
        <v>281</v>
      </c>
      <c r="G51" s="2" t="s">
        <v>50</v>
      </c>
      <c r="H51" s="5" t="s">
        <v>282</v>
      </c>
      <c r="I51" s="5" t="s">
        <v>283</v>
      </c>
      <c r="J51" s="6">
        <v>44357</v>
      </c>
      <c r="K51" s="2">
        <v>23</v>
      </c>
      <c r="L51" s="2" t="s">
        <v>284</v>
      </c>
      <c r="M51" s="2" t="s">
        <v>285</v>
      </c>
      <c r="N51" s="2">
        <v>48</v>
      </c>
    </row>
    <row r="52" spans="1:14" x14ac:dyDescent="0.2">
      <c r="A52" s="2" t="s">
        <v>286</v>
      </c>
      <c r="B52" s="2">
        <v>31</v>
      </c>
      <c r="C52" s="2">
        <v>0</v>
      </c>
      <c r="D52" s="2">
        <v>31</v>
      </c>
      <c r="E52" s="2" t="str">
        <f t="shared" si="0"/>
        <v>SPRING</v>
      </c>
      <c r="F52" s="2" t="s">
        <v>287</v>
      </c>
      <c r="G52" s="2" t="s">
        <v>50</v>
      </c>
      <c r="H52" s="5" t="s">
        <v>288</v>
      </c>
      <c r="I52" s="5" t="s">
        <v>289</v>
      </c>
      <c r="J52" s="6">
        <v>44329</v>
      </c>
      <c r="K52" s="2">
        <v>19</v>
      </c>
      <c r="L52" s="2" t="s">
        <v>290</v>
      </c>
      <c r="M52" s="2" t="s">
        <v>291</v>
      </c>
      <c r="N52" s="2">
        <v>49</v>
      </c>
    </row>
    <row r="53" spans="1:14" x14ac:dyDescent="0.2">
      <c r="A53" s="2" t="s">
        <v>292</v>
      </c>
      <c r="B53" s="2">
        <v>45</v>
      </c>
      <c r="C53" s="2">
        <v>0</v>
      </c>
      <c r="D53" s="2">
        <v>45</v>
      </c>
      <c r="E53" s="2" t="str">
        <f t="shared" si="0"/>
        <v>SPRING</v>
      </c>
      <c r="F53" s="2" t="s">
        <v>293</v>
      </c>
      <c r="G53" s="2" t="s">
        <v>50</v>
      </c>
      <c r="H53" s="5" t="s">
        <v>294</v>
      </c>
      <c r="I53" s="5" t="s">
        <v>295</v>
      </c>
      <c r="J53" s="6">
        <v>44354</v>
      </c>
      <c r="K53" s="2">
        <v>23</v>
      </c>
      <c r="L53" s="2" t="s">
        <v>296</v>
      </c>
      <c r="M53" s="2" t="s">
        <v>297</v>
      </c>
      <c r="N53" s="2">
        <v>50</v>
      </c>
    </row>
    <row r="54" spans="1:14" x14ac:dyDescent="0.2">
      <c r="A54" s="2" t="s">
        <v>298</v>
      </c>
      <c r="B54" s="2">
        <v>50</v>
      </c>
      <c r="C54" s="2">
        <v>0</v>
      </c>
      <c r="D54" s="2">
        <v>50</v>
      </c>
      <c r="E54" s="2" t="str">
        <f t="shared" si="0"/>
        <v>SPRING</v>
      </c>
      <c r="F54" s="2" t="s">
        <v>293</v>
      </c>
      <c r="G54" s="2" t="s">
        <v>50</v>
      </c>
      <c r="H54" s="5" t="s">
        <v>299</v>
      </c>
      <c r="I54" s="5" t="s">
        <v>300</v>
      </c>
      <c r="J54" s="6">
        <v>44703</v>
      </c>
      <c r="K54" s="2">
        <v>20</v>
      </c>
      <c r="L54" s="2" t="s">
        <v>301</v>
      </c>
      <c r="M54" s="2" t="s">
        <v>302</v>
      </c>
      <c r="N54" s="2">
        <v>51</v>
      </c>
    </row>
    <row r="55" spans="1:14" x14ac:dyDescent="0.2">
      <c r="A55" s="2" t="s">
        <v>303</v>
      </c>
      <c r="B55" s="2">
        <v>46</v>
      </c>
      <c r="C55" s="2">
        <v>0</v>
      </c>
      <c r="D55" s="2">
        <v>46</v>
      </c>
      <c r="E55" s="2" t="str">
        <f t="shared" si="0"/>
        <v>SPRING</v>
      </c>
      <c r="F55" s="2" t="s">
        <v>304</v>
      </c>
      <c r="G55" s="2" t="s">
        <v>50</v>
      </c>
      <c r="H55" s="5" t="s">
        <v>305</v>
      </c>
      <c r="I55" s="5" t="s">
        <v>306</v>
      </c>
      <c r="J55" s="6">
        <v>44369</v>
      </c>
      <c r="K55" s="2">
        <v>25</v>
      </c>
      <c r="L55" s="2" t="s">
        <v>307</v>
      </c>
      <c r="M55" s="2" t="s">
        <v>308</v>
      </c>
      <c r="N55" s="2">
        <v>52</v>
      </c>
    </row>
    <row r="56" spans="1:14" x14ac:dyDescent="0.2">
      <c r="A56" s="2" t="s">
        <v>309</v>
      </c>
      <c r="B56" s="2">
        <v>50</v>
      </c>
      <c r="C56" s="2">
        <v>0</v>
      </c>
      <c r="D56" s="2">
        <v>50</v>
      </c>
      <c r="E56" s="2" t="str">
        <f t="shared" si="0"/>
        <v>SPRING</v>
      </c>
      <c r="F56" s="2" t="s">
        <v>304</v>
      </c>
      <c r="G56" s="2" t="s">
        <v>50</v>
      </c>
      <c r="H56" s="5" t="s">
        <v>310</v>
      </c>
      <c r="I56" s="5" t="s">
        <v>311</v>
      </c>
      <c r="J56" s="6">
        <v>44719</v>
      </c>
      <c r="K56" s="2">
        <v>23</v>
      </c>
      <c r="L56" s="2" t="s">
        <v>312</v>
      </c>
      <c r="M56" s="2" t="s">
        <v>313</v>
      </c>
      <c r="N56" s="2">
        <v>53</v>
      </c>
    </row>
    <row r="57" spans="1:14" x14ac:dyDescent="0.2">
      <c r="A57" s="2" t="s">
        <v>314</v>
      </c>
      <c r="B57" s="2">
        <v>50</v>
      </c>
      <c r="C57" s="2">
        <v>0</v>
      </c>
      <c r="D57" s="2">
        <v>50</v>
      </c>
      <c r="E57" s="2" t="str">
        <f t="shared" si="0"/>
        <v>SPRING</v>
      </c>
      <c r="F57" s="2" t="s">
        <v>315</v>
      </c>
      <c r="G57" s="2" t="s">
        <v>50</v>
      </c>
      <c r="H57" s="5" t="s">
        <v>316</v>
      </c>
      <c r="I57" s="5" t="s">
        <v>317</v>
      </c>
      <c r="J57" s="6">
        <v>44701</v>
      </c>
      <c r="K57" s="2">
        <v>20</v>
      </c>
      <c r="L57" s="2" t="s">
        <v>318</v>
      </c>
      <c r="M57" s="2" t="s">
        <v>319</v>
      </c>
      <c r="N57" s="2">
        <v>54</v>
      </c>
    </row>
    <row r="58" spans="1:14" x14ac:dyDescent="0.2">
      <c r="A58" s="2" t="s">
        <v>320</v>
      </c>
      <c r="B58" s="2">
        <v>24</v>
      </c>
      <c r="C58" s="2">
        <v>0</v>
      </c>
      <c r="D58" s="2">
        <v>24</v>
      </c>
      <c r="E58" s="2" t="str">
        <f t="shared" si="0"/>
        <v>SPRING</v>
      </c>
      <c r="F58" s="2" t="s">
        <v>321</v>
      </c>
      <c r="G58" s="2" t="s">
        <v>50</v>
      </c>
      <c r="H58" s="5" t="s">
        <v>322</v>
      </c>
      <c r="I58" s="5" t="s">
        <v>323</v>
      </c>
      <c r="J58" s="6">
        <v>44340</v>
      </c>
      <c r="K58" s="2">
        <v>21</v>
      </c>
      <c r="L58" s="2" t="s">
        <v>324</v>
      </c>
      <c r="M58" s="2" t="s">
        <v>325</v>
      </c>
      <c r="N58" s="2">
        <v>55</v>
      </c>
    </row>
    <row r="59" spans="1:14" x14ac:dyDescent="0.2">
      <c r="A59" s="2" t="s">
        <v>326</v>
      </c>
      <c r="B59" s="2">
        <v>10</v>
      </c>
      <c r="C59" s="2">
        <v>0</v>
      </c>
      <c r="D59" s="2">
        <v>10</v>
      </c>
      <c r="E59" s="2" t="str">
        <f t="shared" si="0"/>
        <v>SPRING</v>
      </c>
      <c r="F59" s="2" t="s">
        <v>327</v>
      </c>
      <c r="G59" s="2" t="s">
        <v>50</v>
      </c>
      <c r="H59" s="5" t="s">
        <v>328</v>
      </c>
      <c r="I59" s="5" t="s">
        <v>329</v>
      </c>
      <c r="J59" s="6">
        <v>44340</v>
      </c>
      <c r="K59" s="2">
        <v>21</v>
      </c>
      <c r="L59" s="2" t="s">
        <v>330</v>
      </c>
      <c r="M59" s="2" t="s">
        <v>331</v>
      </c>
      <c r="N59" s="2">
        <v>56</v>
      </c>
    </row>
    <row r="60" spans="1:14" x14ac:dyDescent="0.2">
      <c r="A60" s="2" t="s">
        <v>332</v>
      </c>
      <c r="B60" s="2">
        <v>15</v>
      </c>
      <c r="C60" s="2">
        <v>0</v>
      </c>
      <c r="D60" s="2">
        <v>15</v>
      </c>
      <c r="E60" s="2" t="str">
        <f t="shared" si="0"/>
        <v>SPRING</v>
      </c>
      <c r="F60" s="2" t="s">
        <v>333</v>
      </c>
      <c r="G60" s="2" t="s">
        <v>50</v>
      </c>
      <c r="H60" s="5" t="s">
        <v>328</v>
      </c>
      <c r="I60" s="5" t="s">
        <v>334</v>
      </c>
      <c r="J60" s="6">
        <v>44338</v>
      </c>
      <c r="K60" s="2">
        <v>20</v>
      </c>
      <c r="L60" s="2" t="s">
        <v>335</v>
      </c>
      <c r="M60" s="2" t="s">
        <v>336</v>
      </c>
      <c r="N60" s="2">
        <v>57</v>
      </c>
    </row>
    <row r="61" spans="1:14" x14ac:dyDescent="0.2">
      <c r="A61" s="2" t="s">
        <v>337</v>
      </c>
      <c r="B61" s="2">
        <v>17</v>
      </c>
      <c r="C61" s="2">
        <v>0</v>
      </c>
      <c r="D61" s="2">
        <v>17</v>
      </c>
      <c r="E61" s="2" t="str">
        <f t="shared" si="0"/>
        <v>SPRING</v>
      </c>
      <c r="F61" s="2" t="s">
        <v>338</v>
      </c>
      <c r="G61" s="2" t="s">
        <v>50</v>
      </c>
      <c r="H61" s="5" t="s">
        <v>339</v>
      </c>
      <c r="I61" s="5" t="s">
        <v>340</v>
      </c>
      <c r="J61" s="6">
        <v>44332</v>
      </c>
      <c r="K61" s="2">
        <v>19</v>
      </c>
      <c r="L61" s="2" t="s">
        <v>341</v>
      </c>
      <c r="M61" s="2" t="s">
        <v>342</v>
      </c>
      <c r="N61" s="2">
        <v>58</v>
      </c>
    </row>
    <row r="62" spans="1:14" x14ac:dyDescent="0.2">
      <c r="A62" s="2" t="s">
        <v>343</v>
      </c>
      <c r="B62" s="2">
        <v>17</v>
      </c>
      <c r="C62" s="2">
        <v>0</v>
      </c>
      <c r="D62" s="2">
        <v>17</v>
      </c>
      <c r="E62" s="2" t="str">
        <f t="shared" si="0"/>
        <v>SPRING</v>
      </c>
      <c r="F62" s="2" t="s">
        <v>344</v>
      </c>
      <c r="G62" s="2" t="s">
        <v>50</v>
      </c>
      <c r="H62" s="5" t="s">
        <v>345</v>
      </c>
      <c r="I62" s="5" t="s">
        <v>346</v>
      </c>
      <c r="J62" s="6">
        <v>44334</v>
      </c>
      <c r="K62" s="2">
        <v>20</v>
      </c>
      <c r="L62" s="2" t="s">
        <v>347</v>
      </c>
      <c r="M62" s="2" t="s">
        <v>348</v>
      </c>
      <c r="N62" s="2">
        <v>59</v>
      </c>
    </row>
    <row r="63" spans="1:14" x14ac:dyDescent="0.2">
      <c r="A63" s="2" t="s">
        <v>349</v>
      </c>
      <c r="B63" s="2">
        <v>37</v>
      </c>
      <c r="C63" s="2">
        <v>0</v>
      </c>
      <c r="D63" s="2">
        <v>37</v>
      </c>
      <c r="E63" s="2" t="str">
        <f t="shared" si="0"/>
        <v>SPRING</v>
      </c>
      <c r="F63" s="2" t="s">
        <v>350</v>
      </c>
      <c r="G63" s="2" t="s">
        <v>50</v>
      </c>
      <c r="H63" s="5" t="s">
        <v>351</v>
      </c>
      <c r="I63" s="5" t="s">
        <v>352</v>
      </c>
      <c r="J63" s="6">
        <v>44701</v>
      </c>
      <c r="K63" s="2">
        <v>20</v>
      </c>
      <c r="L63" s="2" t="s">
        <v>353</v>
      </c>
      <c r="M63" s="2" t="s">
        <v>354</v>
      </c>
      <c r="N63" s="2">
        <v>60</v>
      </c>
    </row>
    <row r="64" spans="1:14" x14ac:dyDescent="0.2">
      <c r="A64" s="2" t="s">
        <v>355</v>
      </c>
      <c r="B64" s="2">
        <v>50</v>
      </c>
      <c r="C64" s="2">
        <v>0</v>
      </c>
      <c r="D64" s="2">
        <v>50</v>
      </c>
      <c r="E64" s="2" t="str">
        <f t="shared" si="0"/>
        <v>SPRING</v>
      </c>
      <c r="F64" s="2" t="s">
        <v>356</v>
      </c>
      <c r="G64" s="2" t="s">
        <v>50</v>
      </c>
      <c r="H64" s="5" t="s">
        <v>357</v>
      </c>
      <c r="I64" s="5" t="s">
        <v>358</v>
      </c>
      <c r="J64" s="6">
        <v>44695</v>
      </c>
      <c r="K64" s="2">
        <v>19</v>
      </c>
      <c r="L64" s="2" t="s">
        <v>359</v>
      </c>
      <c r="M64" s="2" t="s">
        <v>360</v>
      </c>
      <c r="N64" s="2">
        <v>61</v>
      </c>
    </row>
    <row r="65" spans="1:14" x14ac:dyDescent="0.2">
      <c r="A65" s="2" t="s">
        <v>361</v>
      </c>
      <c r="B65" s="2">
        <v>18</v>
      </c>
      <c r="C65" s="2">
        <v>0</v>
      </c>
      <c r="D65" s="2">
        <v>18</v>
      </c>
      <c r="E65" s="2" t="str">
        <f t="shared" si="0"/>
        <v>SPRING</v>
      </c>
      <c r="F65" s="2" t="s">
        <v>362</v>
      </c>
      <c r="G65" s="2" t="s">
        <v>50</v>
      </c>
      <c r="H65" s="5" t="s">
        <v>363</v>
      </c>
      <c r="I65" s="5" t="s">
        <v>364</v>
      </c>
      <c r="J65" s="6">
        <v>44355</v>
      </c>
      <c r="K65" s="2">
        <v>23</v>
      </c>
      <c r="L65" s="2" t="s">
        <v>365</v>
      </c>
      <c r="M65" s="2" t="s">
        <v>366</v>
      </c>
      <c r="N65" s="2">
        <v>62</v>
      </c>
    </row>
    <row r="66" spans="1:14" x14ac:dyDescent="0.2">
      <c r="A66" s="2" t="s">
        <v>367</v>
      </c>
      <c r="B66" s="2">
        <v>12</v>
      </c>
      <c r="C66" s="2">
        <v>0</v>
      </c>
      <c r="D66" s="2">
        <v>12</v>
      </c>
      <c r="E66" s="2" t="str">
        <f t="shared" si="0"/>
        <v>SPRING</v>
      </c>
      <c r="F66" s="2" t="s">
        <v>368</v>
      </c>
      <c r="G66" s="2" t="s">
        <v>50</v>
      </c>
      <c r="H66" s="5" t="s">
        <v>369</v>
      </c>
      <c r="I66" s="5" t="s">
        <v>370</v>
      </c>
      <c r="J66" s="6">
        <v>44337</v>
      </c>
      <c r="K66" s="2">
        <v>20</v>
      </c>
      <c r="L66" s="2" t="s">
        <v>371</v>
      </c>
      <c r="M66" s="2" t="s">
        <v>372</v>
      </c>
      <c r="N66" s="2">
        <v>63</v>
      </c>
    </row>
    <row r="67" spans="1:14" x14ac:dyDescent="0.2">
      <c r="A67" s="2" t="s">
        <v>373</v>
      </c>
      <c r="B67" s="2">
        <v>15</v>
      </c>
      <c r="C67" s="2">
        <v>0</v>
      </c>
      <c r="D67" s="2">
        <v>15</v>
      </c>
      <c r="E67" s="2" t="str">
        <f t="shared" si="0"/>
        <v>SPRING</v>
      </c>
      <c r="F67" s="2" t="s">
        <v>374</v>
      </c>
      <c r="G67" s="2" t="s">
        <v>50</v>
      </c>
      <c r="H67" s="5" t="s">
        <v>375</v>
      </c>
      <c r="I67" s="5" t="s">
        <v>376</v>
      </c>
      <c r="J67" s="6">
        <v>44353</v>
      </c>
      <c r="K67" s="2">
        <v>22</v>
      </c>
      <c r="L67" s="2" t="s">
        <v>377</v>
      </c>
      <c r="M67" s="2" t="s">
        <v>378</v>
      </c>
      <c r="N67" s="2">
        <v>64</v>
      </c>
    </row>
    <row r="68" spans="1:14" x14ac:dyDescent="0.2">
      <c r="A68" s="2" t="s">
        <v>379</v>
      </c>
      <c r="B68" s="2">
        <v>49</v>
      </c>
      <c r="C68" s="2">
        <v>0</v>
      </c>
      <c r="D68" s="2">
        <v>49</v>
      </c>
      <c r="E68" s="2" t="str">
        <f t="shared" ref="E68:E131" si="1">IF(C68&gt;D68,"AUTUMN","SPRING")</f>
        <v>SPRING</v>
      </c>
      <c r="F68" s="2" t="s">
        <v>368</v>
      </c>
      <c r="G68" s="2" t="s">
        <v>50</v>
      </c>
      <c r="H68" s="5" t="s">
        <v>380</v>
      </c>
      <c r="I68" s="5" t="s">
        <v>381</v>
      </c>
      <c r="J68" s="6">
        <v>44696</v>
      </c>
      <c r="K68" s="2">
        <v>19</v>
      </c>
      <c r="L68" s="2" t="s">
        <v>382</v>
      </c>
      <c r="M68" s="2" t="s">
        <v>383</v>
      </c>
      <c r="N68" s="2">
        <v>65</v>
      </c>
    </row>
    <row r="69" spans="1:14" x14ac:dyDescent="0.2">
      <c r="A69" s="2" t="s">
        <v>384</v>
      </c>
      <c r="B69" s="2">
        <v>16</v>
      </c>
      <c r="C69" s="2">
        <v>0</v>
      </c>
      <c r="D69" s="2">
        <v>16</v>
      </c>
      <c r="E69" s="2" t="str">
        <f t="shared" si="1"/>
        <v>SPRING</v>
      </c>
      <c r="F69" s="2" t="s">
        <v>385</v>
      </c>
      <c r="G69" s="2" t="s">
        <v>50</v>
      </c>
      <c r="H69" s="5" t="s">
        <v>386</v>
      </c>
      <c r="I69" s="5" t="s">
        <v>387</v>
      </c>
      <c r="J69" s="6">
        <v>44335</v>
      </c>
      <c r="K69" s="2">
        <v>20</v>
      </c>
      <c r="L69" s="2" t="s">
        <v>388</v>
      </c>
      <c r="M69" s="2" t="s">
        <v>389</v>
      </c>
      <c r="N69" s="2">
        <v>66</v>
      </c>
    </row>
    <row r="70" spans="1:14" x14ac:dyDescent="0.2">
      <c r="A70" s="2" t="s">
        <v>390</v>
      </c>
      <c r="B70" s="2">
        <v>13</v>
      </c>
      <c r="C70" s="2">
        <v>0</v>
      </c>
      <c r="D70" s="2">
        <v>13</v>
      </c>
      <c r="E70" s="2" t="str">
        <f t="shared" si="1"/>
        <v>SPRING</v>
      </c>
      <c r="F70" s="2" t="s">
        <v>391</v>
      </c>
      <c r="G70" s="2" t="s">
        <v>50</v>
      </c>
      <c r="H70" s="5" t="s">
        <v>392</v>
      </c>
      <c r="I70" s="5" t="s">
        <v>393</v>
      </c>
      <c r="J70" s="6">
        <v>44348</v>
      </c>
      <c r="K70" s="2">
        <v>22</v>
      </c>
      <c r="L70" s="2" t="s">
        <v>394</v>
      </c>
      <c r="M70" s="2" t="s">
        <v>395</v>
      </c>
      <c r="N70" s="2">
        <v>67</v>
      </c>
    </row>
    <row r="71" spans="1:14" x14ac:dyDescent="0.2">
      <c r="A71" s="2" t="s">
        <v>396</v>
      </c>
      <c r="B71" s="2">
        <v>14</v>
      </c>
      <c r="C71" s="2">
        <v>0</v>
      </c>
      <c r="D71" s="2">
        <v>14</v>
      </c>
      <c r="E71" s="2" t="str">
        <f t="shared" si="1"/>
        <v>SPRING</v>
      </c>
      <c r="F71" s="2" t="s">
        <v>397</v>
      </c>
      <c r="G71" s="2" t="s">
        <v>50</v>
      </c>
      <c r="H71" s="5" t="s">
        <v>398</v>
      </c>
      <c r="I71" s="5" t="s">
        <v>399</v>
      </c>
      <c r="J71" s="6">
        <v>44352</v>
      </c>
      <c r="K71" s="2">
        <v>22</v>
      </c>
      <c r="L71" s="2" t="s">
        <v>400</v>
      </c>
      <c r="M71" s="2" t="s">
        <v>401</v>
      </c>
      <c r="N71" s="2">
        <v>68</v>
      </c>
    </row>
    <row r="72" spans="1:14" x14ac:dyDescent="0.2">
      <c r="A72" s="2" t="s">
        <v>402</v>
      </c>
      <c r="B72" s="2">
        <v>16</v>
      </c>
      <c r="C72" s="2">
        <v>0</v>
      </c>
      <c r="D72" s="2">
        <v>16</v>
      </c>
      <c r="E72" s="2" t="str">
        <f t="shared" si="1"/>
        <v>SPRING</v>
      </c>
      <c r="F72" s="2" t="s">
        <v>403</v>
      </c>
      <c r="G72" s="2" t="s">
        <v>50</v>
      </c>
      <c r="H72" s="5" t="s">
        <v>404</v>
      </c>
      <c r="I72" s="5" t="s">
        <v>405</v>
      </c>
      <c r="J72" s="6">
        <v>44344</v>
      </c>
      <c r="K72" s="2">
        <v>21</v>
      </c>
      <c r="L72" s="2" t="s">
        <v>406</v>
      </c>
      <c r="M72" s="2" t="s">
        <v>407</v>
      </c>
      <c r="N72" s="2">
        <v>69</v>
      </c>
    </row>
    <row r="73" spans="1:14" x14ac:dyDescent="0.2">
      <c r="A73" s="2" t="s">
        <v>408</v>
      </c>
      <c r="B73" s="2">
        <v>48</v>
      </c>
      <c r="C73" s="2">
        <v>0</v>
      </c>
      <c r="D73" s="2">
        <v>48</v>
      </c>
      <c r="E73" s="2" t="str">
        <f t="shared" si="1"/>
        <v>SPRING</v>
      </c>
      <c r="F73" s="2" t="s">
        <v>409</v>
      </c>
      <c r="G73" s="2" t="s">
        <v>50</v>
      </c>
      <c r="H73" s="5" t="s">
        <v>410</v>
      </c>
      <c r="I73" s="5" t="s">
        <v>411</v>
      </c>
      <c r="J73" s="6">
        <v>44699</v>
      </c>
      <c r="K73" s="2">
        <v>20</v>
      </c>
      <c r="L73" s="2" t="s">
        <v>412</v>
      </c>
      <c r="M73" s="2" t="s">
        <v>413</v>
      </c>
      <c r="N73" s="2">
        <v>70</v>
      </c>
    </row>
    <row r="74" spans="1:14" x14ac:dyDescent="0.2">
      <c r="A74" s="2" t="s">
        <v>414</v>
      </c>
      <c r="B74" s="2">
        <v>17</v>
      </c>
      <c r="C74" s="2">
        <v>0</v>
      </c>
      <c r="D74" s="2">
        <v>17</v>
      </c>
      <c r="E74" s="2" t="str">
        <f t="shared" si="1"/>
        <v>SPRING</v>
      </c>
      <c r="F74" s="2" t="s">
        <v>415</v>
      </c>
      <c r="G74" s="2" t="s">
        <v>50</v>
      </c>
      <c r="H74" s="5" t="s">
        <v>416</v>
      </c>
      <c r="I74" s="5" t="s">
        <v>340</v>
      </c>
      <c r="J74" s="6">
        <v>44333</v>
      </c>
      <c r="K74" s="2">
        <v>20</v>
      </c>
      <c r="L74" s="2" t="s">
        <v>417</v>
      </c>
      <c r="M74" s="2" t="s">
        <v>418</v>
      </c>
      <c r="N74" s="2">
        <v>71</v>
      </c>
    </row>
    <row r="75" spans="1:14" x14ac:dyDescent="0.2">
      <c r="A75" s="2" t="s">
        <v>419</v>
      </c>
      <c r="B75" s="2">
        <v>46</v>
      </c>
      <c r="C75" s="2">
        <v>0</v>
      </c>
      <c r="D75" s="2">
        <v>46</v>
      </c>
      <c r="E75" s="2" t="str">
        <f t="shared" si="1"/>
        <v>SPRING</v>
      </c>
      <c r="F75" s="2" t="s">
        <v>403</v>
      </c>
      <c r="G75" s="2" t="s">
        <v>50</v>
      </c>
      <c r="H75" s="5" t="s">
        <v>420</v>
      </c>
      <c r="I75" s="5" t="s">
        <v>421</v>
      </c>
      <c r="J75" s="6">
        <v>44702</v>
      </c>
      <c r="K75" s="2">
        <v>20</v>
      </c>
      <c r="L75" s="2" t="s">
        <v>422</v>
      </c>
      <c r="M75" s="2" t="s">
        <v>423</v>
      </c>
      <c r="N75" s="2">
        <v>72</v>
      </c>
    </row>
    <row r="76" spans="1:14" x14ac:dyDescent="0.2">
      <c r="A76" s="2" t="s">
        <v>424</v>
      </c>
      <c r="B76" s="2">
        <v>27</v>
      </c>
      <c r="C76" s="2">
        <v>0</v>
      </c>
      <c r="D76" s="2">
        <v>27</v>
      </c>
      <c r="E76" s="2" t="str">
        <f t="shared" si="1"/>
        <v>SPRING</v>
      </c>
      <c r="F76" s="2" t="s">
        <v>425</v>
      </c>
      <c r="G76" s="2" t="s">
        <v>50</v>
      </c>
      <c r="H76" s="5" t="s">
        <v>426</v>
      </c>
      <c r="I76" s="5" t="s">
        <v>427</v>
      </c>
      <c r="J76" s="6">
        <v>44349</v>
      </c>
      <c r="K76" s="2">
        <v>22</v>
      </c>
      <c r="L76" s="2" t="s">
        <v>428</v>
      </c>
      <c r="M76" s="2" t="s">
        <v>429</v>
      </c>
      <c r="N76" s="2">
        <v>73</v>
      </c>
    </row>
    <row r="77" spans="1:14" x14ac:dyDescent="0.2">
      <c r="A77" s="2" t="s">
        <v>430</v>
      </c>
      <c r="B77" s="2">
        <v>11</v>
      </c>
      <c r="C77" s="2">
        <v>0</v>
      </c>
      <c r="D77" s="2">
        <v>11</v>
      </c>
      <c r="E77" s="2" t="str">
        <f t="shared" si="1"/>
        <v>SPRING</v>
      </c>
      <c r="F77" s="2" t="s">
        <v>431</v>
      </c>
      <c r="G77" s="2" t="s">
        <v>50</v>
      </c>
      <c r="H77" s="5" t="s">
        <v>432</v>
      </c>
      <c r="I77" s="5" t="s">
        <v>433</v>
      </c>
      <c r="J77" s="6">
        <v>44342</v>
      </c>
      <c r="K77" s="2">
        <v>21</v>
      </c>
      <c r="L77" s="2" t="s">
        <v>434</v>
      </c>
      <c r="M77" s="2" t="s">
        <v>435</v>
      </c>
      <c r="N77" s="2">
        <v>74</v>
      </c>
    </row>
    <row r="78" spans="1:14" x14ac:dyDescent="0.2">
      <c r="A78" s="2" t="s">
        <v>436</v>
      </c>
      <c r="B78" s="2">
        <v>24</v>
      </c>
      <c r="C78" s="2">
        <v>0</v>
      </c>
      <c r="D78" s="2">
        <v>24</v>
      </c>
      <c r="E78" s="2" t="str">
        <f t="shared" si="1"/>
        <v>SPRING</v>
      </c>
      <c r="F78" s="2" t="s">
        <v>437</v>
      </c>
      <c r="G78" s="2" t="s">
        <v>50</v>
      </c>
      <c r="H78" s="5" t="s">
        <v>438</v>
      </c>
      <c r="I78" s="5" t="s">
        <v>439</v>
      </c>
      <c r="J78" s="6">
        <v>44350</v>
      </c>
      <c r="K78" s="2">
        <v>22</v>
      </c>
      <c r="L78" s="2" t="s">
        <v>440</v>
      </c>
      <c r="M78" s="2" t="s">
        <v>441</v>
      </c>
      <c r="N78" s="2">
        <v>75</v>
      </c>
    </row>
    <row r="79" spans="1:14" x14ac:dyDescent="0.2">
      <c r="A79" s="2" t="s">
        <v>442</v>
      </c>
      <c r="B79" s="2">
        <v>13</v>
      </c>
      <c r="C79" s="2">
        <v>0</v>
      </c>
      <c r="D79" s="2">
        <v>13</v>
      </c>
      <c r="E79" s="2" t="str">
        <f t="shared" si="1"/>
        <v>SPRING</v>
      </c>
      <c r="F79" s="2" t="s">
        <v>443</v>
      </c>
      <c r="G79" s="2" t="s">
        <v>50</v>
      </c>
      <c r="H79" s="5" t="s">
        <v>444</v>
      </c>
      <c r="I79" s="5" t="s">
        <v>445</v>
      </c>
      <c r="J79" s="6">
        <v>44354</v>
      </c>
      <c r="K79" s="2">
        <v>23</v>
      </c>
      <c r="L79" s="2" t="s">
        <v>446</v>
      </c>
      <c r="M79" s="2" t="s">
        <v>447</v>
      </c>
      <c r="N79" s="2">
        <v>76</v>
      </c>
    </row>
    <row r="80" spans="1:14" x14ac:dyDescent="0.2">
      <c r="A80" s="2" t="s">
        <v>448</v>
      </c>
      <c r="B80" s="2">
        <v>40</v>
      </c>
      <c r="C80" s="2">
        <v>0</v>
      </c>
      <c r="D80" s="2">
        <v>40</v>
      </c>
      <c r="E80" s="2" t="str">
        <f t="shared" si="1"/>
        <v>SPRING</v>
      </c>
      <c r="F80" s="2" t="s">
        <v>449</v>
      </c>
      <c r="G80" s="2" t="s">
        <v>50</v>
      </c>
      <c r="H80" s="5" t="s">
        <v>450</v>
      </c>
      <c r="I80" s="5" t="s">
        <v>451</v>
      </c>
      <c r="J80" s="6">
        <v>44362</v>
      </c>
      <c r="K80" s="2">
        <v>24</v>
      </c>
      <c r="L80" s="2" t="s">
        <v>452</v>
      </c>
      <c r="M80" s="2" t="s">
        <v>453</v>
      </c>
      <c r="N80" s="2">
        <v>77</v>
      </c>
    </row>
    <row r="81" spans="1:14" x14ac:dyDescent="0.2">
      <c r="A81" s="2" t="s">
        <v>454</v>
      </c>
      <c r="B81" s="2">
        <v>48</v>
      </c>
      <c r="C81" s="2">
        <v>0</v>
      </c>
      <c r="D81" s="2">
        <v>48</v>
      </c>
      <c r="E81" s="2" t="str">
        <f t="shared" si="1"/>
        <v>SPRING</v>
      </c>
      <c r="F81" s="2" t="s">
        <v>455</v>
      </c>
      <c r="G81" s="2" t="s">
        <v>50</v>
      </c>
      <c r="H81" s="5" t="s">
        <v>456</v>
      </c>
      <c r="I81" s="5" t="s">
        <v>457</v>
      </c>
      <c r="J81" s="6">
        <v>44368</v>
      </c>
      <c r="K81" s="2">
        <v>25</v>
      </c>
      <c r="L81" s="2" t="s">
        <v>458</v>
      </c>
      <c r="M81" s="2" t="s">
        <v>459</v>
      </c>
      <c r="N81" s="2">
        <v>78</v>
      </c>
    </row>
    <row r="82" spans="1:14" x14ac:dyDescent="0.2">
      <c r="A82" s="2" t="s">
        <v>460</v>
      </c>
      <c r="B82" s="2">
        <v>48</v>
      </c>
      <c r="C82" s="2">
        <v>0</v>
      </c>
      <c r="D82" s="2">
        <v>48</v>
      </c>
      <c r="E82" s="2" t="str">
        <f t="shared" si="1"/>
        <v>SPRING</v>
      </c>
      <c r="F82" s="2" t="s">
        <v>455</v>
      </c>
      <c r="G82" s="2" t="s">
        <v>50</v>
      </c>
      <c r="H82" s="5" t="s">
        <v>456</v>
      </c>
      <c r="I82" s="5" t="s">
        <v>457</v>
      </c>
      <c r="J82" s="6">
        <v>44350</v>
      </c>
      <c r="K82" s="2">
        <v>22</v>
      </c>
      <c r="L82" s="2" t="s">
        <v>461</v>
      </c>
      <c r="M82" s="2" t="s">
        <v>462</v>
      </c>
      <c r="N82" s="2">
        <v>79</v>
      </c>
    </row>
    <row r="83" spans="1:14" x14ac:dyDescent="0.2">
      <c r="A83" s="2" t="s">
        <v>463</v>
      </c>
      <c r="B83" s="2">
        <v>50</v>
      </c>
      <c r="C83" s="2">
        <v>0</v>
      </c>
      <c r="D83" s="2">
        <v>50</v>
      </c>
      <c r="E83" s="2" t="str">
        <f t="shared" si="1"/>
        <v>SPRING</v>
      </c>
      <c r="F83" s="2" t="s">
        <v>464</v>
      </c>
      <c r="G83" s="2" t="s">
        <v>50</v>
      </c>
      <c r="H83" s="5" t="s">
        <v>465</v>
      </c>
      <c r="I83" s="5" t="s">
        <v>466</v>
      </c>
      <c r="J83" s="6">
        <v>44341</v>
      </c>
      <c r="K83" s="2">
        <v>21</v>
      </c>
      <c r="L83" s="2" t="s">
        <v>467</v>
      </c>
      <c r="M83" s="2" t="s">
        <v>468</v>
      </c>
      <c r="N83" s="2">
        <v>80</v>
      </c>
    </row>
    <row r="84" spans="1:14" x14ac:dyDescent="0.2">
      <c r="A84" s="2" t="s">
        <v>469</v>
      </c>
      <c r="B84" s="2">
        <v>50</v>
      </c>
      <c r="C84" s="2">
        <v>0</v>
      </c>
      <c r="D84" s="2">
        <v>50</v>
      </c>
      <c r="E84" s="2" t="str">
        <f t="shared" si="1"/>
        <v>SPRING</v>
      </c>
      <c r="F84" s="2" t="s">
        <v>470</v>
      </c>
      <c r="G84" s="2" t="s">
        <v>50</v>
      </c>
      <c r="H84" s="5" t="s">
        <v>471</v>
      </c>
      <c r="I84" s="5" t="s">
        <v>472</v>
      </c>
      <c r="J84" s="6">
        <v>44347</v>
      </c>
      <c r="K84" s="2">
        <v>22</v>
      </c>
      <c r="L84" s="2" t="s">
        <v>473</v>
      </c>
      <c r="M84" s="2" t="s">
        <v>474</v>
      </c>
      <c r="N84" s="2">
        <v>81</v>
      </c>
    </row>
    <row r="85" spans="1:14" x14ac:dyDescent="0.2">
      <c r="A85" s="2" t="s">
        <v>475</v>
      </c>
      <c r="B85" s="2">
        <v>43</v>
      </c>
      <c r="C85" s="2">
        <v>0</v>
      </c>
      <c r="D85" s="2">
        <v>43</v>
      </c>
      <c r="E85" s="2" t="str">
        <f t="shared" si="1"/>
        <v>SPRING</v>
      </c>
      <c r="F85" s="2" t="s">
        <v>476</v>
      </c>
      <c r="G85" s="2" t="s">
        <v>50</v>
      </c>
      <c r="H85" s="5" t="s">
        <v>477</v>
      </c>
      <c r="I85" s="5" t="s">
        <v>478</v>
      </c>
      <c r="J85" s="6">
        <v>44376</v>
      </c>
      <c r="K85" s="2">
        <v>26</v>
      </c>
      <c r="L85" s="2" t="s">
        <v>479</v>
      </c>
      <c r="M85" s="2" t="s">
        <v>468</v>
      </c>
      <c r="N85" s="2">
        <v>82</v>
      </c>
    </row>
    <row r="86" spans="1:14" x14ac:dyDescent="0.2">
      <c r="A86" s="2" t="s">
        <v>480</v>
      </c>
      <c r="B86" s="2">
        <v>28</v>
      </c>
      <c r="C86" s="2">
        <v>0</v>
      </c>
      <c r="D86" s="2">
        <v>28</v>
      </c>
      <c r="E86" s="2" t="str">
        <f t="shared" si="1"/>
        <v>SPRING</v>
      </c>
      <c r="F86" s="2" t="s">
        <v>481</v>
      </c>
      <c r="G86" s="2" t="s">
        <v>501</v>
      </c>
      <c r="H86" s="5" t="s">
        <v>482</v>
      </c>
      <c r="I86" s="5" t="s">
        <v>483</v>
      </c>
      <c r="J86" s="6">
        <v>44356</v>
      </c>
      <c r="K86" s="2">
        <v>23</v>
      </c>
      <c r="L86" s="2" t="s">
        <v>484</v>
      </c>
      <c r="M86" s="2" t="s">
        <v>485</v>
      </c>
      <c r="N86" s="2">
        <v>83</v>
      </c>
    </row>
    <row r="87" spans="1:14" x14ac:dyDescent="0.2">
      <c r="A87" s="2" t="s">
        <v>486</v>
      </c>
      <c r="B87" s="2">
        <v>15</v>
      </c>
      <c r="C87" s="2">
        <v>15</v>
      </c>
      <c r="D87" s="2">
        <v>0</v>
      </c>
      <c r="E87" s="2" t="str">
        <f t="shared" si="1"/>
        <v>AUTUMN</v>
      </c>
      <c r="F87" s="2" t="s">
        <v>487</v>
      </c>
      <c r="G87" s="2" t="s">
        <v>488</v>
      </c>
      <c r="H87" s="5" t="s">
        <v>489</v>
      </c>
      <c r="I87" s="5" t="s">
        <v>490</v>
      </c>
      <c r="J87" s="6">
        <v>44446</v>
      </c>
      <c r="K87" s="2">
        <v>36</v>
      </c>
      <c r="L87" s="2" t="s">
        <v>491</v>
      </c>
      <c r="M87" s="2" t="s">
        <v>492</v>
      </c>
      <c r="N87" s="2">
        <v>84</v>
      </c>
    </row>
    <row r="88" spans="1:14" x14ac:dyDescent="0.2">
      <c r="A88" s="2" t="s">
        <v>493</v>
      </c>
      <c r="B88" s="2">
        <v>50</v>
      </c>
      <c r="C88" s="2">
        <v>50</v>
      </c>
      <c r="D88" s="2">
        <v>0</v>
      </c>
      <c r="E88" s="2" t="str">
        <f t="shared" si="1"/>
        <v>AUTUMN</v>
      </c>
      <c r="F88" s="2" t="s">
        <v>487</v>
      </c>
      <c r="G88" s="2" t="s">
        <v>488</v>
      </c>
      <c r="H88" s="5" t="s">
        <v>489</v>
      </c>
      <c r="I88" s="5" t="s">
        <v>490</v>
      </c>
      <c r="J88" s="6">
        <v>44454</v>
      </c>
      <c r="K88" s="2">
        <v>37</v>
      </c>
      <c r="L88" s="2" t="s">
        <v>494</v>
      </c>
      <c r="M88" s="2" t="s">
        <v>495</v>
      </c>
      <c r="N88" s="2">
        <v>85</v>
      </c>
    </row>
    <row r="89" spans="1:14" x14ac:dyDescent="0.2">
      <c r="A89" s="2" t="s">
        <v>496</v>
      </c>
      <c r="B89" s="2">
        <v>46</v>
      </c>
      <c r="C89" s="2">
        <v>46</v>
      </c>
      <c r="D89" s="2">
        <v>0</v>
      </c>
      <c r="E89" s="2" t="str">
        <f t="shared" si="1"/>
        <v>AUTUMN</v>
      </c>
      <c r="F89" s="2" t="s">
        <v>487</v>
      </c>
      <c r="G89" s="2" t="s">
        <v>488</v>
      </c>
      <c r="H89" s="5" t="s">
        <v>489</v>
      </c>
      <c r="I89" s="5" t="s">
        <v>490</v>
      </c>
      <c r="J89" s="6">
        <v>44459</v>
      </c>
      <c r="K89" s="2">
        <v>38</v>
      </c>
      <c r="L89" s="2" t="s">
        <v>497</v>
      </c>
      <c r="M89" s="2" t="s">
        <v>498</v>
      </c>
      <c r="N89" s="2">
        <v>86</v>
      </c>
    </row>
    <row r="90" spans="1:14" x14ac:dyDescent="0.2">
      <c r="A90" s="2" t="s">
        <v>499</v>
      </c>
      <c r="B90" s="2">
        <v>12</v>
      </c>
      <c r="C90" s="2">
        <v>1</v>
      </c>
      <c r="D90" s="2">
        <v>11</v>
      </c>
      <c r="E90" s="2" t="str">
        <f t="shared" si="1"/>
        <v>SPRING</v>
      </c>
      <c r="F90" s="2" t="s">
        <v>500</v>
      </c>
      <c r="G90" s="2" t="s">
        <v>501</v>
      </c>
      <c r="H90" s="5" t="s">
        <v>502</v>
      </c>
      <c r="I90" s="5" t="s">
        <v>503</v>
      </c>
      <c r="J90" s="6">
        <v>44398</v>
      </c>
      <c r="K90" s="2">
        <v>29</v>
      </c>
      <c r="L90" s="2" t="s">
        <v>504</v>
      </c>
      <c r="M90" s="2" t="s">
        <v>505</v>
      </c>
      <c r="N90" s="2">
        <v>87</v>
      </c>
    </row>
    <row r="91" spans="1:14" x14ac:dyDescent="0.2">
      <c r="A91" s="2" t="s">
        <v>506</v>
      </c>
      <c r="B91" s="2">
        <v>7</v>
      </c>
      <c r="C91" s="2">
        <v>5</v>
      </c>
      <c r="D91" s="2">
        <v>2</v>
      </c>
      <c r="E91" s="2" t="str">
        <f t="shared" si="1"/>
        <v>AUTUMN</v>
      </c>
      <c r="F91" s="2" t="s">
        <v>507</v>
      </c>
      <c r="G91" s="2" t="s">
        <v>488</v>
      </c>
      <c r="H91" s="5" t="s">
        <v>508</v>
      </c>
      <c r="I91" s="5" t="s">
        <v>509</v>
      </c>
      <c r="J91" s="6">
        <v>44420</v>
      </c>
      <c r="K91" s="2">
        <v>32</v>
      </c>
      <c r="L91" s="2" t="s">
        <v>510</v>
      </c>
      <c r="M91" s="2" t="s">
        <v>511</v>
      </c>
      <c r="N91" s="2">
        <v>88</v>
      </c>
    </row>
    <row r="92" spans="1:14" x14ac:dyDescent="0.2">
      <c r="A92" s="2" t="s">
        <v>512</v>
      </c>
      <c r="B92" s="2">
        <v>37</v>
      </c>
      <c r="C92" s="2">
        <v>0</v>
      </c>
      <c r="D92" s="2">
        <v>37</v>
      </c>
      <c r="E92" s="2" t="str">
        <f t="shared" si="1"/>
        <v>SPRING</v>
      </c>
      <c r="F92" s="2" t="s">
        <v>513</v>
      </c>
      <c r="G92" s="2" t="s">
        <v>50</v>
      </c>
      <c r="H92" s="5" t="s">
        <v>514</v>
      </c>
      <c r="I92" s="5" t="s">
        <v>515</v>
      </c>
      <c r="J92" s="6">
        <v>44341</v>
      </c>
      <c r="K92" s="2">
        <v>21</v>
      </c>
      <c r="L92" s="2" t="s">
        <v>516</v>
      </c>
      <c r="M92" s="2" t="s">
        <v>517</v>
      </c>
      <c r="N92" s="2">
        <v>89</v>
      </c>
    </row>
    <row r="93" spans="1:14" x14ac:dyDescent="0.2">
      <c r="A93" s="2" t="s">
        <v>518</v>
      </c>
      <c r="B93" s="2">
        <v>17</v>
      </c>
      <c r="C93" s="2">
        <v>0</v>
      </c>
      <c r="D93" s="2">
        <v>17</v>
      </c>
      <c r="E93" s="2" t="str">
        <f t="shared" si="1"/>
        <v>SPRING</v>
      </c>
      <c r="F93" s="2" t="s">
        <v>519</v>
      </c>
      <c r="G93" s="2" t="s">
        <v>50</v>
      </c>
      <c r="H93" s="5" t="s">
        <v>520</v>
      </c>
      <c r="I93" s="5" t="s">
        <v>521</v>
      </c>
      <c r="J93" s="6">
        <v>44334</v>
      </c>
      <c r="K93" s="2">
        <v>20</v>
      </c>
      <c r="L93" s="2" t="s">
        <v>522</v>
      </c>
      <c r="M93" s="2" t="s">
        <v>523</v>
      </c>
      <c r="N93" s="2">
        <v>90</v>
      </c>
    </row>
    <row r="94" spans="1:14" x14ac:dyDescent="0.2">
      <c r="A94" s="2" t="s">
        <v>524</v>
      </c>
      <c r="B94" s="2">
        <v>42</v>
      </c>
      <c r="C94" s="2">
        <v>0</v>
      </c>
      <c r="D94" s="2">
        <v>42</v>
      </c>
      <c r="E94" s="2" t="str">
        <f t="shared" si="1"/>
        <v>SPRING</v>
      </c>
      <c r="F94" s="2" t="s">
        <v>525</v>
      </c>
      <c r="G94" s="2" t="s">
        <v>50</v>
      </c>
      <c r="H94" s="5" t="s">
        <v>526</v>
      </c>
      <c r="I94" s="5" t="s">
        <v>527</v>
      </c>
      <c r="J94" s="6">
        <v>44341</v>
      </c>
      <c r="K94" s="2">
        <v>21</v>
      </c>
      <c r="L94" s="2" t="s">
        <v>528</v>
      </c>
      <c r="M94" s="2" t="s">
        <v>529</v>
      </c>
      <c r="N94" s="2">
        <v>91</v>
      </c>
    </row>
    <row r="95" spans="1:14" x14ac:dyDescent="0.2">
      <c r="A95" s="2" t="s">
        <v>530</v>
      </c>
      <c r="B95" s="2">
        <v>44</v>
      </c>
      <c r="C95" s="2">
        <v>0</v>
      </c>
      <c r="D95" s="2">
        <v>44</v>
      </c>
      <c r="E95" s="2" t="str">
        <f t="shared" si="1"/>
        <v>SPRING</v>
      </c>
      <c r="F95" s="2" t="s">
        <v>531</v>
      </c>
      <c r="G95" s="2" t="s">
        <v>50</v>
      </c>
      <c r="H95" s="5" t="s">
        <v>532</v>
      </c>
      <c r="I95" s="5" t="s">
        <v>533</v>
      </c>
      <c r="J95" s="6">
        <v>44363</v>
      </c>
      <c r="K95" s="2">
        <v>24</v>
      </c>
      <c r="L95" s="2" t="s">
        <v>534</v>
      </c>
      <c r="M95" s="2" t="s">
        <v>535</v>
      </c>
      <c r="N95" s="2">
        <v>92</v>
      </c>
    </row>
    <row r="96" spans="1:14" x14ac:dyDescent="0.2">
      <c r="A96" s="2" t="s">
        <v>536</v>
      </c>
      <c r="B96" s="2">
        <v>48</v>
      </c>
      <c r="C96" s="2">
        <v>0</v>
      </c>
      <c r="D96" s="2">
        <v>48</v>
      </c>
      <c r="E96" s="2" t="str">
        <f t="shared" si="1"/>
        <v>SPRING</v>
      </c>
      <c r="F96" s="2" t="s">
        <v>537</v>
      </c>
      <c r="G96" s="2" t="s">
        <v>50</v>
      </c>
      <c r="H96" s="5" t="s">
        <v>538</v>
      </c>
      <c r="I96" s="5" t="s">
        <v>539</v>
      </c>
      <c r="J96" s="6">
        <v>44363</v>
      </c>
      <c r="K96" s="2">
        <v>24</v>
      </c>
      <c r="L96" s="2" t="s">
        <v>540</v>
      </c>
      <c r="M96" s="2" t="s">
        <v>541</v>
      </c>
      <c r="N96" s="2">
        <v>93</v>
      </c>
    </row>
    <row r="97" spans="1:14" x14ac:dyDescent="0.2">
      <c r="A97" s="2" t="s">
        <v>542</v>
      </c>
      <c r="B97" s="2">
        <v>49</v>
      </c>
      <c r="C97" s="2">
        <v>49</v>
      </c>
      <c r="D97" s="2">
        <v>0</v>
      </c>
      <c r="E97" s="2" t="str">
        <f t="shared" si="1"/>
        <v>AUTUMN</v>
      </c>
      <c r="F97" s="2" t="s">
        <v>543</v>
      </c>
      <c r="G97" s="2" t="s">
        <v>488</v>
      </c>
      <c r="H97" s="5" t="s">
        <v>544</v>
      </c>
      <c r="I97" s="5" t="s">
        <v>545</v>
      </c>
      <c r="J97" s="6">
        <v>44460</v>
      </c>
      <c r="K97" s="2">
        <v>38</v>
      </c>
      <c r="L97" s="2" t="s">
        <v>546</v>
      </c>
      <c r="M97" s="2" t="s">
        <v>308</v>
      </c>
      <c r="N97" s="2">
        <v>94</v>
      </c>
    </row>
    <row r="98" spans="1:14" x14ac:dyDescent="0.2">
      <c r="A98" s="2" t="s">
        <v>547</v>
      </c>
      <c r="B98" s="2">
        <v>33</v>
      </c>
      <c r="C98" s="2">
        <v>33</v>
      </c>
      <c r="D98" s="2">
        <v>0</v>
      </c>
      <c r="E98" s="2" t="str">
        <f t="shared" si="1"/>
        <v>AUTUMN</v>
      </c>
      <c r="F98" s="2" t="s">
        <v>548</v>
      </c>
      <c r="G98" s="2" t="s">
        <v>488</v>
      </c>
      <c r="H98" s="5" t="s">
        <v>549</v>
      </c>
      <c r="I98" s="5" t="s">
        <v>550</v>
      </c>
      <c r="J98" s="6">
        <v>44453</v>
      </c>
      <c r="K98" s="2">
        <v>37</v>
      </c>
      <c r="L98" s="2" t="s">
        <v>551</v>
      </c>
      <c r="M98" s="2" t="s">
        <v>552</v>
      </c>
      <c r="N98" s="2">
        <v>95</v>
      </c>
    </row>
    <row r="99" spans="1:14" x14ac:dyDescent="0.2">
      <c r="A99" s="2" t="s">
        <v>553</v>
      </c>
      <c r="B99" s="2">
        <v>50</v>
      </c>
      <c r="C99" s="2">
        <v>49</v>
      </c>
      <c r="D99" s="2">
        <v>1</v>
      </c>
      <c r="E99" s="2" t="str">
        <f t="shared" si="1"/>
        <v>AUTUMN</v>
      </c>
      <c r="F99" s="2" t="s">
        <v>548</v>
      </c>
      <c r="G99" s="2" t="s">
        <v>488</v>
      </c>
      <c r="H99" s="5" t="s">
        <v>554</v>
      </c>
      <c r="I99" s="5" t="s">
        <v>555</v>
      </c>
      <c r="J99" s="6">
        <v>44444</v>
      </c>
      <c r="K99" s="2">
        <v>35</v>
      </c>
      <c r="L99" s="2" t="s">
        <v>556</v>
      </c>
      <c r="M99" s="2" t="s">
        <v>557</v>
      </c>
      <c r="N99" s="2">
        <v>96</v>
      </c>
    </row>
    <row r="100" spans="1:14" x14ac:dyDescent="0.2">
      <c r="A100" s="2" t="s">
        <v>558</v>
      </c>
      <c r="B100" s="2">
        <v>50</v>
      </c>
      <c r="C100" s="2">
        <v>46</v>
      </c>
      <c r="D100" s="2">
        <v>4</v>
      </c>
      <c r="E100" s="2" t="str">
        <f t="shared" si="1"/>
        <v>AUTUMN</v>
      </c>
      <c r="F100" s="2" t="s">
        <v>548</v>
      </c>
      <c r="G100" s="2" t="s">
        <v>501</v>
      </c>
      <c r="H100" s="5" t="s">
        <v>559</v>
      </c>
      <c r="I100" s="5" t="s">
        <v>560</v>
      </c>
      <c r="J100" s="6">
        <v>44438</v>
      </c>
      <c r="K100" s="2">
        <v>35</v>
      </c>
      <c r="L100" s="2" t="s">
        <v>561</v>
      </c>
      <c r="M100" s="2" t="s">
        <v>360</v>
      </c>
      <c r="N100" s="2">
        <v>97</v>
      </c>
    </row>
    <row r="101" spans="1:14" x14ac:dyDescent="0.2">
      <c r="A101" s="2" t="s">
        <v>562</v>
      </c>
      <c r="B101" s="2">
        <v>39</v>
      </c>
      <c r="C101" s="2">
        <v>0</v>
      </c>
      <c r="D101" s="2">
        <v>39</v>
      </c>
      <c r="E101" s="2" t="str">
        <f t="shared" si="1"/>
        <v>SPRING</v>
      </c>
      <c r="F101" s="2" t="s">
        <v>563</v>
      </c>
      <c r="G101" s="2" t="s">
        <v>50</v>
      </c>
      <c r="H101" s="5" t="s">
        <v>564</v>
      </c>
      <c r="I101" s="5" t="s">
        <v>565</v>
      </c>
      <c r="J101" s="6">
        <v>44364</v>
      </c>
      <c r="K101" s="2">
        <v>24</v>
      </c>
      <c r="L101" s="2" t="s">
        <v>125</v>
      </c>
      <c r="M101" s="2" t="s">
        <v>566</v>
      </c>
      <c r="N101" s="2">
        <v>98</v>
      </c>
    </row>
    <row r="102" spans="1:14" x14ac:dyDescent="0.2">
      <c r="A102" s="2" t="s">
        <v>567</v>
      </c>
      <c r="B102" s="2">
        <v>50</v>
      </c>
      <c r="C102" s="2">
        <v>0</v>
      </c>
      <c r="D102" s="2">
        <v>50</v>
      </c>
      <c r="E102" s="2" t="str">
        <f t="shared" si="1"/>
        <v>SPRING</v>
      </c>
      <c r="F102" s="2" t="s">
        <v>568</v>
      </c>
      <c r="G102" s="2" t="s">
        <v>50</v>
      </c>
      <c r="H102" s="5" t="s">
        <v>564</v>
      </c>
      <c r="I102" s="5" t="s">
        <v>565</v>
      </c>
      <c r="J102" s="6">
        <v>44375</v>
      </c>
      <c r="K102" s="2">
        <v>26</v>
      </c>
      <c r="L102" s="2" t="s">
        <v>569</v>
      </c>
      <c r="M102" s="2" t="s">
        <v>570</v>
      </c>
      <c r="N102" s="2">
        <v>99</v>
      </c>
    </row>
    <row r="103" spans="1:14" x14ac:dyDescent="0.2">
      <c r="A103" s="2" t="s">
        <v>571</v>
      </c>
      <c r="B103" s="2">
        <v>26</v>
      </c>
      <c r="C103" s="2">
        <v>0</v>
      </c>
      <c r="D103" s="2">
        <v>26</v>
      </c>
      <c r="E103" s="2" t="str">
        <f t="shared" si="1"/>
        <v>SPRING</v>
      </c>
      <c r="F103" s="2" t="s">
        <v>572</v>
      </c>
      <c r="G103" s="2" t="s">
        <v>50</v>
      </c>
      <c r="H103" s="5" t="s">
        <v>573</v>
      </c>
      <c r="I103" s="5" t="s">
        <v>574</v>
      </c>
      <c r="J103" s="6">
        <v>44364</v>
      </c>
      <c r="K103" s="2">
        <v>24</v>
      </c>
      <c r="L103" s="2" t="s">
        <v>575</v>
      </c>
      <c r="M103" s="2" t="s">
        <v>576</v>
      </c>
      <c r="N103" s="2">
        <v>100</v>
      </c>
    </row>
    <row r="104" spans="1:14" x14ac:dyDescent="0.2">
      <c r="A104" s="2" t="s">
        <v>577</v>
      </c>
      <c r="B104" s="2">
        <v>28</v>
      </c>
      <c r="C104" s="2">
        <v>0</v>
      </c>
      <c r="D104" s="2">
        <v>28</v>
      </c>
      <c r="E104" s="2" t="str">
        <f t="shared" si="1"/>
        <v>SPRING</v>
      </c>
      <c r="F104" s="2" t="s">
        <v>578</v>
      </c>
      <c r="G104" s="2" t="s">
        <v>50</v>
      </c>
      <c r="H104" s="5" t="s">
        <v>579</v>
      </c>
      <c r="I104" s="5" t="s">
        <v>580</v>
      </c>
      <c r="J104" s="6">
        <v>44727</v>
      </c>
      <c r="K104" s="2">
        <v>24</v>
      </c>
      <c r="L104" s="2" t="s">
        <v>581</v>
      </c>
      <c r="M104" s="2" t="s">
        <v>582</v>
      </c>
      <c r="N104" s="2">
        <v>101</v>
      </c>
    </row>
    <row r="105" spans="1:14" x14ac:dyDescent="0.2">
      <c r="A105" s="2" t="s">
        <v>583</v>
      </c>
      <c r="B105" s="2">
        <v>24</v>
      </c>
      <c r="C105" s="2">
        <v>1</v>
      </c>
      <c r="D105" s="2">
        <v>23</v>
      </c>
      <c r="E105" s="2" t="str">
        <f t="shared" si="1"/>
        <v>SPRING</v>
      </c>
      <c r="F105" s="2" t="s">
        <v>584</v>
      </c>
      <c r="G105" s="2" t="s">
        <v>50</v>
      </c>
      <c r="H105" s="5" t="s">
        <v>585</v>
      </c>
      <c r="I105" s="5" t="s">
        <v>586</v>
      </c>
      <c r="J105" s="6">
        <v>44727</v>
      </c>
      <c r="K105" s="2">
        <v>24</v>
      </c>
      <c r="L105" s="2" t="s">
        <v>581</v>
      </c>
      <c r="M105" s="2" t="s">
        <v>582</v>
      </c>
      <c r="N105" s="2">
        <v>102</v>
      </c>
    </row>
    <row r="106" spans="1:14" x14ac:dyDescent="0.2">
      <c r="A106" s="2" t="s">
        <v>587</v>
      </c>
      <c r="B106" s="2">
        <v>41</v>
      </c>
      <c r="C106" s="2">
        <v>0</v>
      </c>
      <c r="D106" s="2">
        <v>41</v>
      </c>
      <c r="E106" s="2" t="str">
        <f t="shared" si="1"/>
        <v>SPRING</v>
      </c>
      <c r="F106" s="2" t="s">
        <v>588</v>
      </c>
      <c r="G106" s="2" t="s">
        <v>50</v>
      </c>
      <c r="H106" s="5" t="s">
        <v>589</v>
      </c>
      <c r="I106" s="5" t="s">
        <v>590</v>
      </c>
      <c r="J106" s="6">
        <v>44734</v>
      </c>
      <c r="K106" s="2">
        <v>25</v>
      </c>
      <c r="L106" s="2" t="s">
        <v>591</v>
      </c>
      <c r="M106" s="2" t="s">
        <v>592</v>
      </c>
      <c r="N106" s="2">
        <v>103</v>
      </c>
    </row>
    <row r="107" spans="1:14" x14ac:dyDescent="0.2">
      <c r="A107" s="2" t="s">
        <v>593</v>
      </c>
      <c r="B107" s="2">
        <v>49</v>
      </c>
      <c r="C107" s="2">
        <v>0</v>
      </c>
      <c r="D107" s="2">
        <v>49</v>
      </c>
      <c r="E107" s="2" t="str">
        <f t="shared" si="1"/>
        <v>SPRING</v>
      </c>
      <c r="F107" s="2" t="s">
        <v>594</v>
      </c>
      <c r="G107" s="2" t="s">
        <v>50</v>
      </c>
      <c r="H107" s="5" t="s">
        <v>595</v>
      </c>
      <c r="I107" s="5" t="s">
        <v>596</v>
      </c>
      <c r="J107" s="6">
        <v>44367</v>
      </c>
      <c r="K107" s="2">
        <v>24</v>
      </c>
      <c r="L107" s="2" t="s">
        <v>597</v>
      </c>
      <c r="M107" s="2" t="s">
        <v>598</v>
      </c>
      <c r="N107" s="2">
        <v>104</v>
      </c>
    </row>
    <row r="108" spans="1:14" x14ac:dyDescent="0.2">
      <c r="A108" s="2" t="s">
        <v>599</v>
      </c>
      <c r="B108" s="2">
        <v>39</v>
      </c>
      <c r="C108" s="2">
        <v>0</v>
      </c>
      <c r="D108" s="2">
        <v>39</v>
      </c>
      <c r="E108" s="2" t="str">
        <f t="shared" si="1"/>
        <v>SPRING</v>
      </c>
      <c r="F108" s="2" t="s">
        <v>600</v>
      </c>
      <c r="G108" s="2" t="s">
        <v>50</v>
      </c>
      <c r="H108" s="5" t="s">
        <v>601</v>
      </c>
      <c r="I108" s="5" t="s">
        <v>602</v>
      </c>
      <c r="J108" s="6">
        <v>44739</v>
      </c>
      <c r="K108" s="2">
        <v>26</v>
      </c>
      <c r="L108" s="2" t="s">
        <v>603</v>
      </c>
      <c r="M108" s="2" t="s">
        <v>604</v>
      </c>
      <c r="N108" s="2">
        <v>105</v>
      </c>
    </row>
    <row r="109" spans="1:14" x14ac:dyDescent="0.2">
      <c r="A109" s="2" t="s">
        <v>605</v>
      </c>
      <c r="B109" s="2">
        <v>38</v>
      </c>
      <c r="C109" s="2">
        <v>0</v>
      </c>
      <c r="D109" s="2">
        <v>38</v>
      </c>
      <c r="E109" s="2" t="str">
        <f t="shared" si="1"/>
        <v>SPRING</v>
      </c>
      <c r="F109" s="2" t="s">
        <v>600</v>
      </c>
      <c r="G109" s="2" t="s">
        <v>50</v>
      </c>
      <c r="H109" s="5" t="s">
        <v>606</v>
      </c>
      <c r="I109" s="5" t="s">
        <v>607</v>
      </c>
      <c r="J109" s="6">
        <v>44352</v>
      </c>
      <c r="K109" s="2">
        <v>22</v>
      </c>
      <c r="L109" s="2" t="s">
        <v>608</v>
      </c>
      <c r="M109" s="2" t="s">
        <v>609</v>
      </c>
      <c r="N109" s="2">
        <v>106</v>
      </c>
    </row>
    <row r="110" spans="1:14" x14ac:dyDescent="0.2">
      <c r="A110" s="2" t="s">
        <v>610</v>
      </c>
      <c r="B110" s="2">
        <v>17</v>
      </c>
      <c r="C110" s="2">
        <v>0</v>
      </c>
      <c r="D110" s="2">
        <v>17</v>
      </c>
      <c r="E110" s="2" t="str">
        <f t="shared" si="1"/>
        <v>SPRING</v>
      </c>
      <c r="F110" s="2" t="s">
        <v>611</v>
      </c>
      <c r="G110" s="2" t="s">
        <v>50</v>
      </c>
      <c r="H110" s="5" t="s">
        <v>612</v>
      </c>
      <c r="I110" s="5" t="s">
        <v>613</v>
      </c>
      <c r="J110" s="6">
        <v>44742</v>
      </c>
      <c r="K110" s="2">
        <v>26</v>
      </c>
      <c r="L110" s="2" t="s">
        <v>614</v>
      </c>
      <c r="M110" s="2" t="s">
        <v>615</v>
      </c>
      <c r="N110" s="2">
        <v>107</v>
      </c>
    </row>
    <row r="111" spans="1:14" x14ac:dyDescent="0.2">
      <c r="A111" s="2" t="s">
        <v>616</v>
      </c>
      <c r="B111" s="2">
        <v>34</v>
      </c>
      <c r="C111" s="2">
        <v>0</v>
      </c>
      <c r="D111" s="2">
        <v>34</v>
      </c>
      <c r="E111" s="2" t="str">
        <f t="shared" si="1"/>
        <v>SPRING</v>
      </c>
      <c r="F111" s="2" t="s">
        <v>611</v>
      </c>
      <c r="G111" s="2" t="s">
        <v>50</v>
      </c>
      <c r="H111" s="5" t="s">
        <v>617</v>
      </c>
      <c r="I111" s="5" t="s">
        <v>618</v>
      </c>
      <c r="J111" s="6">
        <v>44376</v>
      </c>
      <c r="K111" s="2">
        <v>26</v>
      </c>
      <c r="L111" s="2" t="s">
        <v>619</v>
      </c>
      <c r="M111" s="2" t="s">
        <v>620</v>
      </c>
      <c r="N111" s="2">
        <v>108</v>
      </c>
    </row>
    <row r="112" spans="1:14" x14ac:dyDescent="0.2">
      <c r="A112" s="2" t="s">
        <v>621</v>
      </c>
      <c r="B112" s="2">
        <v>33</v>
      </c>
      <c r="C112" s="2">
        <v>0</v>
      </c>
      <c r="D112" s="2">
        <v>33</v>
      </c>
      <c r="E112" s="2" t="str">
        <f t="shared" si="1"/>
        <v>SPRING</v>
      </c>
      <c r="F112" s="2" t="s">
        <v>622</v>
      </c>
      <c r="G112" s="2" t="s">
        <v>50</v>
      </c>
      <c r="H112" s="5" t="s">
        <v>623</v>
      </c>
      <c r="I112" s="5" t="s">
        <v>624</v>
      </c>
      <c r="J112" s="6">
        <v>44355</v>
      </c>
      <c r="K112" s="2">
        <v>23</v>
      </c>
      <c r="L112" s="2" t="s">
        <v>625</v>
      </c>
      <c r="M112" s="2" t="s">
        <v>626</v>
      </c>
      <c r="N112" s="2">
        <v>109</v>
      </c>
    </row>
    <row r="113" spans="1:14" x14ac:dyDescent="0.2">
      <c r="A113" s="2" t="s">
        <v>627</v>
      </c>
      <c r="B113" s="2">
        <v>40</v>
      </c>
      <c r="C113" s="2">
        <v>0</v>
      </c>
      <c r="D113" s="2">
        <v>40</v>
      </c>
      <c r="E113" s="2" t="str">
        <f t="shared" si="1"/>
        <v>SPRING</v>
      </c>
      <c r="F113" s="2" t="s">
        <v>628</v>
      </c>
      <c r="G113" s="2" t="s">
        <v>50</v>
      </c>
      <c r="H113" s="5" t="s">
        <v>629</v>
      </c>
      <c r="I113" s="5" t="s">
        <v>630</v>
      </c>
      <c r="J113" s="6">
        <v>44350</v>
      </c>
      <c r="K113" s="2">
        <v>22</v>
      </c>
      <c r="L113" s="2" t="s">
        <v>631</v>
      </c>
      <c r="M113" s="2" t="s">
        <v>632</v>
      </c>
      <c r="N113" s="2">
        <v>110</v>
      </c>
    </row>
    <row r="114" spans="1:14" x14ac:dyDescent="0.2">
      <c r="A114" s="2" t="s">
        <v>633</v>
      </c>
      <c r="B114" s="2">
        <v>10</v>
      </c>
      <c r="C114" s="2">
        <v>10</v>
      </c>
      <c r="D114" s="2">
        <v>0</v>
      </c>
      <c r="E114" s="2" t="str">
        <f t="shared" si="1"/>
        <v>AUTUMN</v>
      </c>
      <c r="F114" s="2" t="s">
        <v>634</v>
      </c>
      <c r="G114" s="2" t="s">
        <v>488</v>
      </c>
      <c r="H114" s="5" t="s">
        <v>635</v>
      </c>
      <c r="I114" s="5" t="s">
        <v>636</v>
      </c>
      <c r="J114" s="6">
        <v>44508</v>
      </c>
      <c r="K114" s="2">
        <v>45</v>
      </c>
      <c r="L114" s="2" t="s">
        <v>522</v>
      </c>
      <c r="M114" s="2" t="s">
        <v>637</v>
      </c>
      <c r="N114" s="2">
        <v>111</v>
      </c>
    </row>
    <row r="115" spans="1:14" x14ac:dyDescent="0.2">
      <c r="A115" s="2" t="s">
        <v>638</v>
      </c>
      <c r="B115" s="2">
        <v>13</v>
      </c>
      <c r="C115" s="2">
        <v>12</v>
      </c>
      <c r="D115" s="2">
        <v>1</v>
      </c>
      <c r="E115" s="2" t="str">
        <f t="shared" si="1"/>
        <v>AUTUMN</v>
      </c>
      <c r="F115" s="2" t="s">
        <v>639</v>
      </c>
      <c r="G115" s="2" t="s">
        <v>488</v>
      </c>
      <c r="H115" s="5" t="s">
        <v>640</v>
      </c>
      <c r="I115" s="5" t="s">
        <v>641</v>
      </c>
      <c r="J115" s="6">
        <v>44480</v>
      </c>
      <c r="K115" s="2">
        <v>41</v>
      </c>
      <c r="L115" s="2" t="s">
        <v>642</v>
      </c>
      <c r="M115" s="2" t="s">
        <v>643</v>
      </c>
      <c r="N115" s="2">
        <v>112</v>
      </c>
    </row>
    <row r="116" spans="1:14" x14ac:dyDescent="0.2">
      <c r="A116" s="2" t="s">
        <v>644</v>
      </c>
      <c r="B116" s="2">
        <v>50</v>
      </c>
      <c r="C116" s="2">
        <v>1</v>
      </c>
      <c r="D116" s="2">
        <v>49</v>
      </c>
      <c r="E116" s="2" t="str">
        <f t="shared" si="1"/>
        <v>SPRING</v>
      </c>
      <c r="F116" s="2" t="s">
        <v>645</v>
      </c>
      <c r="G116" s="2" t="s">
        <v>50</v>
      </c>
      <c r="H116" s="5" t="s">
        <v>646</v>
      </c>
      <c r="I116" s="5" t="s">
        <v>647</v>
      </c>
      <c r="J116" s="6">
        <v>44753</v>
      </c>
      <c r="K116" s="2">
        <v>28</v>
      </c>
      <c r="L116" s="2" t="s">
        <v>648</v>
      </c>
      <c r="M116" s="2" t="s">
        <v>649</v>
      </c>
      <c r="N116" s="2">
        <v>113</v>
      </c>
    </row>
    <row r="117" spans="1:14" x14ac:dyDescent="0.2">
      <c r="A117" s="2" t="s">
        <v>650</v>
      </c>
      <c r="B117" s="2">
        <v>30</v>
      </c>
      <c r="C117" s="2">
        <v>0</v>
      </c>
      <c r="D117" s="2">
        <v>30</v>
      </c>
      <c r="E117" s="2" t="str">
        <f t="shared" si="1"/>
        <v>SPRING</v>
      </c>
      <c r="F117" s="2" t="s">
        <v>651</v>
      </c>
      <c r="G117" s="2" t="s">
        <v>50</v>
      </c>
      <c r="H117" s="5" t="s">
        <v>652</v>
      </c>
      <c r="I117" s="5" t="s">
        <v>647</v>
      </c>
      <c r="J117" s="6">
        <v>44382</v>
      </c>
      <c r="K117" s="2">
        <v>27</v>
      </c>
      <c r="L117" s="2" t="s">
        <v>653</v>
      </c>
      <c r="M117" s="2" t="s">
        <v>654</v>
      </c>
      <c r="N117" s="2">
        <v>114</v>
      </c>
    </row>
    <row r="118" spans="1:14" x14ac:dyDescent="0.2">
      <c r="A118" s="2" t="s">
        <v>655</v>
      </c>
      <c r="B118" s="2">
        <v>39</v>
      </c>
      <c r="C118" s="2">
        <v>0</v>
      </c>
      <c r="D118" s="2">
        <v>39</v>
      </c>
      <c r="E118" s="2" t="str">
        <f t="shared" si="1"/>
        <v>SPRING</v>
      </c>
      <c r="F118" s="2" t="s">
        <v>656</v>
      </c>
      <c r="G118" s="2" t="s">
        <v>50</v>
      </c>
      <c r="H118" s="5" t="s">
        <v>657</v>
      </c>
      <c r="I118" s="5" t="s">
        <v>658</v>
      </c>
      <c r="J118" s="6">
        <v>44348</v>
      </c>
      <c r="K118" s="2">
        <v>22</v>
      </c>
      <c r="L118" s="2" t="s">
        <v>659</v>
      </c>
      <c r="M118" s="2" t="s">
        <v>660</v>
      </c>
      <c r="N118" s="2">
        <v>115</v>
      </c>
    </row>
    <row r="119" spans="1:14" x14ac:dyDescent="0.2">
      <c r="A119" s="2" t="s">
        <v>661</v>
      </c>
      <c r="B119" s="2">
        <v>43</v>
      </c>
      <c r="C119" s="2">
        <v>0</v>
      </c>
      <c r="D119" s="2">
        <v>43</v>
      </c>
      <c r="E119" s="2" t="str">
        <f t="shared" si="1"/>
        <v>SPRING</v>
      </c>
      <c r="F119" s="2" t="s">
        <v>656</v>
      </c>
      <c r="G119" s="2" t="s">
        <v>50</v>
      </c>
      <c r="H119" s="5" t="s">
        <v>662</v>
      </c>
      <c r="I119" s="5" t="s">
        <v>663</v>
      </c>
      <c r="J119" s="6">
        <v>44349</v>
      </c>
      <c r="K119" s="2">
        <v>22</v>
      </c>
      <c r="L119" s="2" t="s">
        <v>664</v>
      </c>
      <c r="M119" s="2" t="s">
        <v>665</v>
      </c>
      <c r="N119" s="2">
        <v>116</v>
      </c>
    </row>
    <row r="120" spans="1:14" x14ac:dyDescent="0.2">
      <c r="A120" s="2" t="s">
        <v>666</v>
      </c>
      <c r="B120" s="2">
        <v>49</v>
      </c>
      <c r="C120" s="2">
        <v>0</v>
      </c>
      <c r="D120" s="2">
        <v>49</v>
      </c>
      <c r="E120" s="2" t="str">
        <f t="shared" si="1"/>
        <v>SPRING</v>
      </c>
      <c r="F120" s="2" t="s">
        <v>667</v>
      </c>
      <c r="G120" s="2" t="s">
        <v>50</v>
      </c>
      <c r="H120" s="5" t="s">
        <v>668</v>
      </c>
      <c r="I120" s="5" t="s">
        <v>669</v>
      </c>
      <c r="J120" s="6">
        <v>44354</v>
      </c>
      <c r="K120" s="2">
        <v>23</v>
      </c>
      <c r="L120" s="2" t="s">
        <v>670</v>
      </c>
      <c r="M120" s="2" t="s">
        <v>671</v>
      </c>
      <c r="N120" s="2">
        <v>117</v>
      </c>
    </row>
    <row r="121" spans="1:14" x14ac:dyDescent="0.2">
      <c r="A121" s="2" t="s">
        <v>672</v>
      </c>
      <c r="B121" s="2">
        <v>27</v>
      </c>
      <c r="C121" s="2">
        <v>0</v>
      </c>
      <c r="D121" s="2">
        <v>27</v>
      </c>
      <c r="E121" s="2" t="str">
        <f t="shared" si="1"/>
        <v>SPRING</v>
      </c>
      <c r="F121" s="2" t="s">
        <v>673</v>
      </c>
      <c r="G121" s="2" t="s">
        <v>50</v>
      </c>
      <c r="H121" s="5" t="s">
        <v>674</v>
      </c>
      <c r="I121" s="5" t="s">
        <v>675</v>
      </c>
      <c r="J121" s="6">
        <v>44369</v>
      </c>
      <c r="K121" s="2">
        <v>25</v>
      </c>
      <c r="L121" s="2" t="s">
        <v>676</v>
      </c>
      <c r="M121" s="2" t="s">
        <v>267</v>
      </c>
      <c r="N121" s="2">
        <v>118</v>
      </c>
    </row>
    <row r="122" spans="1:14" x14ac:dyDescent="0.2">
      <c r="A122" s="2" t="s">
        <v>677</v>
      </c>
      <c r="B122" s="2">
        <v>20</v>
      </c>
      <c r="C122" s="2">
        <v>0</v>
      </c>
      <c r="D122" s="2">
        <v>20</v>
      </c>
      <c r="E122" s="2" t="str">
        <f t="shared" si="1"/>
        <v>SPRING</v>
      </c>
      <c r="F122" s="2" t="s">
        <v>678</v>
      </c>
      <c r="G122" s="2" t="s">
        <v>50</v>
      </c>
      <c r="H122" s="5" t="s">
        <v>679</v>
      </c>
      <c r="I122" s="5" t="s">
        <v>680</v>
      </c>
      <c r="J122" s="6">
        <v>44364</v>
      </c>
      <c r="K122" s="2">
        <v>24</v>
      </c>
      <c r="L122" s="2" t="s">
        <v>681</v>
      </c>
      <c r="M122" s="2" t="s">
        <v>682</v>
      </c>
      <c r="N122" s="2">
        <v>119</v>
      </c>
    </row>
    <row r="123" spans="1:14" x14ac:dyDescent="0.2">
      <c r="A123" s="2" t="s">
        <v>683</v>
      </c>
      <c r="B123" s="2">
        <v>38</v>
      </c>
      <c r="C123" s="2">
        <v>0</v>
      </c>
      <c r="D123" s="2">
        <v>38</v>
      </c>
      <c r="E123" s="2" t="str">
        <f t="shared" si="1"/>
        <v>SPRING</v>
      </c>
      <c r="F123" s="2" t="s">
        <v>684</v>
      </c>
      <c r="G123" s="2" t="s">
        <v>50</v>
      </c>
      <c r="H123" s="5" t="s">
        <v>685</v>
      </c>
      <c r="I123" s="5" t="s">
        <v>686</v>
      </c>
      <c r="J123" s="6">
        <v>44352</v>
      </c>
      <c r="K123" s="2">
        <v>22</v>
      </c>
      <c r="L123" s="2" t="s">
        <v>687</v>
      </c>
      <c r="M123" s="2" t="s">
        <v>688</v>
      </c>
      <c r="N123" s="2">
        <v>120</v>
      </c>
    </row>
    <row r="124" spans="1:14" x14ac:dyDescent="0.2">
      <c r="A124" s="2" t="s">
        <v>689</v>
      </c>
      <c r="B124" s="2">
        <v>39</v>
      </c>
      <c r="C124" s="2">
        <v>0</v>
      </c>
      <c r="D124" s="2">
        <v>39</v>
      </c>
      <c r="E124" s="2" t="str">
        <f t="shared" si="1"/>
        <v>SPRING</v>
      </c>
      <c r="F124" s="2" t="s">
        <v>690</v>
      </c>
      <c r="G124" s="2" t="s">
        <v>50</v>
      </c>
      <c r="H124" s="5" t="s">
        <v>691</v>
      </c>
      <c r="I124" s="5" t="s">
        <v>692</v>
      </c>
      <c r="J124" s="6">
        <v>44391</v>
      </c>
      <c r="K124" s="2">
        <v>28</v>
      </c>
      <c r="L124" s="2" t="s">
        <v>693</v>
      </c>
      <c r="M124" s="2" t="s">
        <v>694</v>
      </c>
      <c r="N124" s="2">
        <v>121</v>
      </c>
    </row>
    <row r="125" spans="1:14" x14ac:dyDescent="0.2">
      <c r="A125" s="2" t="s">
        <v>695</v>
      </c>
      <c r="B125" s="2">
        <v>43</v>
      </c>
      <c r="C125" s="2">
        <v>1</v>
      </c>
      <c r="D125" s="2">
        <v>42</v>
      </c>
      <c r="E125" s="2" t="str">
        <f t="shared" si="1"/>
        <v>SPRING</v>
      </c>
      <c r="F125" s="2" t="s">
        <v>696</v>
      </c>
      <c r="G125" s="2" t="s">
        <v>501</v>
      </c>
      <c r="H125" s="5" t="s">
        <v>697</v>
      </c>
      <c r="I125" s="5" t="s">
        <v>698</v>
      </c>
      <c r="J125" s="6">
        <v>44369</v>
      </c>
      <c r="K125" s="2">
        <v>25</v>
      </c>
      <c r="L125" s="2" t="s">
        <v>699</v>
      </c>
      <c r="M125" s="2" t="s">
        <v>700</v>
      </c>
      <c r="N125" s="2">
        <v>122</v>
      </c>
    </row>
    <row r="126" spans="1:14" x14ac:dyDescent="0.2">
      <c r="A126" s="2" t="s">
        <v>701</v>
      </c>
      <c r="B126" s="2">
        <v>44</v>
      </c>
      <c r="C126" s="2">
        <v>5</v>
      </c>
      <c r="D126" s="2">
        <v>39</v>
      </c>
      <c r="E126" s="2" t="str">
        <f t="shared" si="1"/>
        <v>SPRING</v>
      </c>
      <c r="F126" s="2" t="s">
        <v>702</v>
      </c>
      <c r="G126" s="2" t="s">
        <v>501</v>
      </c>
      <c r="H126" s="5" t="s">
        <v>703</v>
      </c>
      <c r="I126" s="5" t="s">
        <v>704</v>
      </c>
      <c r="J126" s="6">
        <v>44401</v>
      </c>
      <c r="K126" s="2">
        <v>29</v>
      </c>
      <c r="L126" s="2" t="s">
        <v>705</v>
      </c>
      <c r="M126" s="2" t="s">
        <v>706</v>
      </c>
      <c r="N126" s="2">
        <v>123</v>
      </c>
    </row>
    <row r="127" spans="1:14" x14ac:dyDescent="0.2">
      <c r="A127" s="2" t="s">
        <v>707</v>
      </c>
      <c r="B127" s="2">
        <v>24</v>
      </c>
      <c r="C127" s="2">
        <v>0</v>
      </c>
      <c r="D127" s="2">
        <v>24</v>
      </c>
      <c r="E127" s="2" t="str">
        <f t="shared" si="1"/>
        <v>SPRING</v>
      </c>
      <c r="F127" s="2" t="s">
        <v>708</v>
      </c>
      <c r="G127" s="2" t="s">
        <v>50</v>
      </c>
      <c r="H127" s="5" t="s">
        <v>709</v>
      </c>
      <c r="I127" s="5" t="s">
        <v>710</v>
      </c>
      <c r="J127" s="6">
        <v>44710</v>
      </c>
      <c r="K127" s="2">
        <v>21</v>
      </c>
      <c r="L127" s="2" t="s">
        <v>711</v>
      </c>
      <c r="M127" s="2" t="s">
        <v>712</v>
      </c>
      <c r="N127" s="2">
        <v>124</v>
      </c>
    </row>
    <row r="128" spans="1:14" x14ac:dyDescent="0.2">
      <c r="A128" s="2" t="s">
        <v>713</v>
      </c>
      <c r="B128" s="2">
        <v>24</v>
      </c>
      <c r="C128" s="2">
        <v>0</v>
      </c>
      <c r="D128" s="2">
        <v>24</v>
      </c>
      <c r="E128" s="2" t="str">
        <f t="shared" si="1"/>
        <v>SPRING</v>
      </c>
      <c r="F128" s="2" t="s">
        <v>708</v>
      </c>
      <c r="G128" s="2" t="s">
        <v>501</v>
      </c>
      <c r="H128" s="5" t="s">
        <v>709</v>
      </c>
      <c r="I128" s="5" t="s">
        <v>710</v>
      </c>
      <c r="J128" s="6">
        <v>44717</v>
      </c>
      <c r="K128" s="2">
        <v>22</v>
      </c>
      <c r="L128" s="2" t="s">
        <v>714</v>
      </c>
      <c r="M128" s="2" t="s">
        <v>715</v>
      </c>
      <c r="N128" s="2">
        <v>125</v>
      </c>
    </row>
    <row r="129" spans="1:14" x14ac:dyDescent="0.2">
      <c r="A129" s="2" t="s">
        <v>716</v>
      </c>
      <c r="B129" s="2">
        <v>23</v>
      </c>
      <c r="C129" s="2">
        <v>1</v>
      </c>
      <c r="D129" s="2">
        <v>22</v>
      </c>
      <c r="E129" s="2" t="str">
        <f t="shared" si="1"/>
        <v>SPRING</v>
      </c>
      <c r="F129" s="2" t="s">
        <v>717</v>
      </c>
      <c r="G129" s="2" t="s">
        <v>501</v>
      </c>
      <c r="H129" s="5" t="s">
        <v>718</v>
      </c>
      <c r="I129" s="5" t="s">
        <v>719</v>
      </c>
      <c r="J129" s="6">
        <v>44750</v>
      </c>
      <c r="K129" s="2">
        <v>27</v>
      </c>
      <c r="L129" s="2" t="s">
        <v>720</v>
      </c>
      <c r="M129" s="2" t="s">
        <v>721</v>
      </c>
      <c r="N129" s="2">
        <v>126</v>
      </c>
    </row>
    <row r="130" spans="1:14" x14ac:dyDescent="0.2">
      <c r="A130" s="2" t="s">
        <v>722</v>
      </c>
      <c r="B130" s="2">
        <v>22</v>
      </c>
      <c r="C130" s="2">
        <v>2</v>
      </c>
      <c r="D130" s="2">
        <v>20</v>
      </c>
      <c r="E130" s="2" t="str">
        <f t="shared" si="1"/>
        <v>SPRING</v>
      </c>
      <c r="F130" s="2" t="s">
        <v>717</v>
      </c>
      <c r="G130" s="2" t="s">
        <v>501</v>
      </c>
      <c r="H130" s="5" t="s">
        <v>718</v>
      </c>
      <c r="I130" s="5" t="s">
        <v>719</v>
      </c>
      <c r="J130" s="6">
        <v>44751</v>
      </c>
      <c r="K130" s="2">
        <v>27</v>
      </c>
      <c r="L130" s="2" t="s">
        <v>723</v>
      </c>
      <c r="M130" s="2" t="s">
        <v>724</v>
      </c>
      <c r="N130" s="2">
        <v>127</v>
      </c>
    </row>
    <row r="131" spans="1:14" x14ac:dyDescent="0.2">
      <c r="A131" s="2" t="s">
        <v>725</v>
      </c>
      <c r="B131" s="2">
        <v>29</v>
      </c>
      <c r="C131" s="2">
        <v>0</v>
      </c>
      <c r="D131" s="2">
        <v>29</v>
      </c>
      <c r="E131" s="2" t="str">
        <f t="shared" si="1"/>
        <v>SPRING</v>
      </c>
      <c r="F131" s="2" t="s">
        <v>717</v>
      </c>
      <c r="G131" s="2" t="s">
        <v>501</v>
      </c>
      <c r="H131" s="5" t="s">
        <v>718</v>
      </c>
      <c r="I131" s="5" t="s">
        <v>719</v>
      </c>
      <c r="J131" s="6">
        <v>44710</v>
      </c>
      <c r="K131" s="2">
        <v>21</v>
      </c>
      <c r="L131" s="2" t="s">
        <v>726</v>
      </c>
      <c r="M131" s="2" t="s">
        <v>727</v>
      </c>
      <c r="N131" s="2">
        <v>128</v>
      </c>
    </row>
    <row r="132" spans="1:14" x14ac:dyDescent="0.2">
      <c r="A132" s="2" t="s">
        <v>728</v>
      </c>
      <c r="B132" s="2">
        <v>29</v>
      </c>
      <c r="C132" s="2">
        <v>0</v>
      </c>
      <c r="D132" s="2">
        <v>29</v>
      </c>
      <c r="E132" s="2" t="str">
        <f t="shared" ref="E132:E153" si="2">IF(C132&gt;D132,"AUTUMN","SPRING")</f>
        <v>SPRING</v>
      </c>
      <c r="F132" s="2" t="s">
        <v>717</v>
      </c>
      <c r="G132" s="2" t="s">
        <v>501</v>
      </c>
      <c r="H132" s="5" t="s">
        <v>718</v>
      </c>
      <c r="I132" s="5" t="s">
        <v>719</v>
      </c>
      <c r="J132" s="6">
        <v>44716</v>
      </c>
      <c r="K132" s="2">
        <v>22</v>
      </c>
      <c r="L132" s="2" t="s">
        <v>729</v>
      </c>
      <c r="M132" s="2" t="s">
        <v>730</v>
      </c>
      <c r="N132" s="2">
        <v>129</v>
      </c>
    </row>
    <row r="133" spans="1:14" x14ac:dyDescent="0.2">
      <c r="A133" s="2" t="s">
        <v>731</v>
      </c>
      <c r="B133" s="2">
        <v>30</v>
      </c>
      <c r="C133" s="2">
        <v>0</v>
      </c>
      <c r="D133" s="2">
        <v>30</v>
      </c>
      <c r="E133" s="2" t="str">
        <f t="shared" si="2"/>
        <v>SPRING</v>
      </c>
      <c r="F133" s="2" t="s">
        <v>717</v>
      </c>
      <c r="G133" s="2" t="s">
        <v>501</v>
      </c>
      <c r="H133" s="5" t="s">
        <v>718</v>
      </c>
      <c r="I133" s="5" t="s">
        <v>719</v>
      </c>
      <c r="J133" s="6">
        <v>44736</v>
      </c>
      <c r="K133" s="2">
        <v>25</v>
      </c>
      <c r="L133" s="2" t="s">
        <v>732</v>
      </c>
      <c r="M133" s="2" t="s">
        <v>733</v>
      </c>
      <c r="N133" s="2">
        <v>130</v>
      </c>
    </row>
    <row r="134" spans="1:14" x14ac:dyDescent="0.2">
      <c r="A134" s="2" t="s">
        <v>734</v>
      </c>
      <c r="B134" s="2">
        <v>35</v>
      </c>
      <c r="C134" s="2">
        <v>0</v>
      </c>
      <c r="D134" s="2">
        <v>35</v>
      </c>
      <c r="E134" s="2" t="str">
        <f t="shared" si="2"/>
        <v>SPRING</v>
      </c>
      <c r="F134" s="2" t="s">
        <v>735</v>
      </c>
      <c r="G134" s="2" t="s">
        <v>501</v>
      </c>
      <c r="H134" s="5" t="s">
        <v>736</v>
      </c>
      <c r="I134" s="5" t="s">
        <v>737</v>
      </c>
      <c r="J134" s="6">
        <v>44362</v>
      </c>
      <c r="K134" s="2">
        <v>24</v>
      </c>
      <c r="L134" s="2" t="s">
        <v>738</v>
      </c>
      <c r="M134" s="2" t="s">
        <v>739</v>
      </c>
      <c r="N134" s="2">
        <v>131</v>
      </c>
    </row>
    <row r="135" spans="1:14" x14ac:dyDescent="0.2">
      <c r="A135" s="2" t="s">
        <v>740</v>
      </c>
      <c r="B135" s="2">
        <v>35</v>
      </c>
      <c r="C135" s="2">
        <v>0</v>
      </c>
      <c r="D135" s="2">
        <v>35</v>
      </c>
      <c r="E135" s="2" t="str">
        <f t="shared" si="2"/>
        <v>SPRING</v>
      </c>
      <c r="F135" s="2" t="s">
        <v>717</v>
      </c>
      <c r="G135" s="2" t="s">
        <v>501</v>
      </c>
      <c r="H135" s="5" t="s">
        <v>741</v>
      </c>
      <c r="I135" s="5" t="s">
        <v>742</v>
      </c>
      <c r="J135" s="6">
        <v>44368</v>
      </c>
      <c r="K135" s="2">
        <v>25</v>
      </c>
      <c r="L135" s="2" t="s">
        <v>743</v>
      </c>
      <c r="M135" s="2" t="s">
        <v>744</v>
      </c>
      <c r="N135" s="2">
        <v>132</v>
      </c>
    </row>
    <row r="136" spans="1:14" x14ac:dyDescent="0.2">
      <c r="A136" s="2" t="s">
        <v>745</v>
      </c>
      <c r="B136" s="2">
        <v>23</v>
      </c>
      <c r="C136" s="2">
        <v>0</v>
      </c>
      <c r="D136" s="2">
        <v>23</v>
      </c>
      <c r="E136" s="2" t="str">
        <f t="shared" si="2"/>
        <v>SPRING</v>
      </c>
      <c r="F136" s="2" t="s">
        <v>746</v>
      </c>
      <c r="G136" s="2" t="s">
        <v>501</v>
      </c>
      <c r="H136" s="5" t="s">
        <v>747</v>
      </c>
      <c r="I136" s="5" t="s">
        <v>748</v>
      </c>
      <c r="J136" s="6">
        <v>44716</v>
      </c>
      <c r="K136" s="2">
        <v>22</v>
      </c>
      <c r="L136" s="2" t="s">
        <v>749</v>
      </c>
      <c r="M136" s="2" t="s">
        <v>750</v>
      </c>
      <c r="N136" s="2">
        <v>133</v>
      </c>
    </row>
    <row r="137" spans="1:14" x14ac:dyDescent="0.2">
      <c r="A137" s="2" t="s">
        <v>751</v>
      </c>
      <c r="B137" s="2">
        <v>28</v>
      </c>
      <c r="C137" s="2">
        <v>0</v>
      </c>
      <c r="D137" s="2">
        <v>28</v>
      </c>
      <c r="E137" s="2" t="str">
        <f t="shared" si="2"/>
        <v>SPRING</v>
      </c>
      <c r="F137" s="2" t="s">
        <v>746</v>
      </c>
      <c r="G137" s="2" t="s">
        <v>501</v>
      </c>
      <c r="H137" s="5" t="s">
        <v>747</v>
      </c>
      <c r="I137" s="5" t="s">
        <v>748</v>
      </c>
      <c r="J137" s="6">
        <v>44736</v>
      </c>
      <c r="K137" s="2">
        <v>25</v>
      </c>
      <c r="L137" s="2" t="s">
        <v>752</v>
      </c>
      <c r="M137" s="2" t="s">
        <v>753</v>
      </c>
      <c r="N137" s="2">
        <v>134</v>
      </c>
    </row>
    <row r="138" spans="1:14" x14ac:dyDescent="0.2">
      <c r="A138" s="2" t="s">
        <v>754</v>
      </c>
      <c r="B138" s="2">
        <v>43</v>
      </c>
      <c r="C138" s="2">
        <v>0</v>
      </c>
      <c r="D138" s="2">
        <v>43</v>
      </c>
      <c r="E138" s="2" t="str">
        <f t="shared" si="2"/>
        <v>SPRING</v>
      </c>
      <c r="F138" s="2" t="s">
        <v>755</v>
      </c>
      <c r="G138" s="2" t="s">
        <v>501</v>
      </c>
      <c r="H138" s="5" t="s">
        <v>756</v>
      </c>
      <c r="I138" s="5" t="s">
        <v>757</v>
      </c>
      <c r="J138" s="6">
        <v>44364</v>
      </c>
      <c r="K138" s="2">
        <v>24</v>
      </c>
      <c r="L138" s="2" t="s">
        <v>758</v>
      </c>
      <c r="M138" s="2" t="s">
        <v>759</v>
      </c>
      <c r="N138" s="2">
        <v>135</v>
      </c>
    </row>
    <row r="139" spans="1:14" x14ac:dyDescent="0.2">
      <c r="A139" s="2" t="s">
        <v>760</v>
      </c>
      <c r="B139" s="2">
        <v>20</v>
      </c>
      <c r="C139" s="2">
        <v>1</v>
      </c>
      <c r="D139" s="2">
        <v>19</v>
      </c>
      <c r="E139" s="2" t="str">
        <f t="shared" si="2"/>
        <v>SPRING</v>
      </c>
      <c r="F139" s="2" t="s">
        <v>761</v>
      </c>
      <c r="G139" s="2" t="s">
        <v>501</v>
      </c>
      <c r="H139" s="5" t="s">
        <v>762</v>
      </c>
      <c r="I139" s="5" t="s">
        <v>763</v>
      </c>
      <c r="J139" s="6">
        <v>44370</v>
      </c>
      <c r="K139" s="2">
        <v>25</v>
      </c>
      <c r="L139" s="2" t="s">
        <v>764</v>
      </c>
      <c r="M139" s="2" t="s">
        <v>765</v>
      </c>
      <c r="N139" s="2">
        <v>136</v>
      </c>
    </row>
    <row r="140" spans="1:14" x14ac:dyDescent="0.2">
      <c r="A140" s="2" t="s">
        <v>766</v>
      </c>
      <c r="B140" s="2">
        <v>12</v>
      </c>
      <c r="C140" s="2">
        <v>0</v>
      </c>
      <c r="D140" s="2">
        <v>12</v>
      </c>
      <c r="E140" s="2" t="str">
        <f t="shared" si="2"/>
        <v>SPRING</v>
      </c>
      <c r="F140" s="2" t="s">
        <v>767</v>
      </c>
      <c r="G140" s="2" t="s">
        <v>501</v>
      </c>
      <c r="H140" s="5" t="s">
        <v>768</v>
      </c>
      <c r="I140" s="5" t="s">
        <v>769</v>
      </c>
      <c r="J140" s="6">
        <v>44370</v>
      </c>
      <c r="K140" s="2">
        <v>25</v>
      </c>
      <c r="L140" s="2" t="s">
        <v>770</v>
      </c>
      <c r="M140" s="2" t="s">
        <v>771</v>
      </c>
      <c r="N140" s="2">
        <v>137</v>
      </c>
    </row>
    <row r="141" spans="1:14" x14ac:dyDescent="0.2">
      <c r="A141" s="2" t="s">
        <v>772</v>
      </c>
      <c r="B141" s="2">
        <v>50</v>
      </c>
      <c r="C141" s="2">
        <v>1</v>
      </c>
      <c r="D141" s="2">
        <v>49</v>
      </c>
      <c r="E141" s="2" t="str">
        <f t="shared" si="2"/>
        <v>SPRING</v>
      </c>
      <c r="F141" s="2" t="s">
        <v>773</v>
      </c>
      <c r="G141" s="2" t="s">
        <v>501</v>
      </c>
      <c r="H141" s="5" t="s">
        <v>774</v>
      </c>
      <c r="I141" s="5" t="s">
        <v>775</v>
      </c>
      <c r="J141" s="6">
        <v>44355</v>
      </c>
      <c r="K141" s="2">
        <v>23</v>
      </c>
      <c r="L141" s="2" t="s">
        <v>776</v>
      </c>
      <c r="M141" s="2" t="s">
        <v>777</v>
      </c>
      <c r="N141" s="2">
        <v>138</v>
      </c>
    </row>
    <row r="142" spans="1:14" x14ac:dyDescent="0.2">
      <c r="A142" s="2" t="s">
        <v>778</v>
      </c>
      <c r="B142" s="2">
        <v>20</v>
      </c>
      <c r="C142" s="2">
        <v>0</v>
      </c>
      <c r="D142" s="2">
        <v>20</v>
      </c>
      <c r="E142" s="2" t="str">
        <f t="shared" si="2"/>
        <v>SPRING</v>
      </c>
      <c r="F142" s="2" t="s">
        <v>779</v>
      </c>
      <c r="G142" s="2" t="s">
        <v>501</v>
      </c>
      <c r="H142" s="5" t="s">
        <v>780</v>
      </c>
      <c r="I142" s="5" t="s">
        <v>781</v>
      </c>
      <c r="J142" s="6">
        <v>44385</v>
      </c>
      <c r="K142" s="2">
        <v>27</v>
      </c>
      <c r="L142" s="2" t="s">
        <v>782</v>
      </c>
      <c r="M142" s="2" t="s">
        <v>783</v>
      </c>
      <c r="N142" s="2">
        <v>139</v>
      </c>
    </row>
    <row r="143" spans="1:14" x14ac:dyDescent="0.2">
      <c r="A143" s="2" t="s">
        <v>784</v>
      </c>
      <c r="B143" s="2">
        <v>50</v>
      </c>
      <c r="C143" s="2">
        <v>0</v>
      </c>
      <c r="D143" s="2">
        <v>50</v>
      </c>
      <c r="E143" s="2" t="str">
        <f t="shared" si="2"/>
        <v>SPRING</v>
      </c>
      <c r="F143" s="2" t="s">
        <v>785</v>
      </c>
      <c r="G143" s="2" t="s">
        <v>501</v>
      </c>
      <c r="H143" s="5" t="s">
        <v>786</v>
      </c>
      <c r="I143" s="5" t="s">
        <v>787</v>
      </c>
      <c r="J143" s="6">
        <v>44371</v>
      </c>
      <c r="K143" s="2">
        <v>25</v>
      </c>
      <c r="L143" s="2" t="s">
        <v>788</v>
      </c>
      <c r="M143" s="2" t="s">
        <v>789</v>
      </c>
      <c r="N143" s="2">
        <v>140</v>
      </c>
    </row>
    <row r="144" spans="1:14" x14ac:dyDescent="0.2">
      <c r="A144" s="2" t="s">
        <v>790</v>
      </c>
      <c r="B144" s="2">
        <v>29</v>
      </c>
      <c r="C144" s="2">
        <v>1</v>
      </c>
      <c r="D144" s="2">
        <v>28</v>
      </c>
      <c r="E144" s="2" t="str">
        <f t="shared" si="2"/>
        <v>SPRING</v>
      </c>
      <c r="F144" s="2" t="s">
        <v>791</v>
      </c>
      <c r="G144" s="2" t="s">
        <v>501</v>
      </c>
      <c r="H144" s="5" t="s">
        <v>792</v>
      </c>
      <c r="I144" s="5" t="s">
        <v>793</v>
      </c>
      <c r="J144" s="6">
        <v>44365</v>
      </c>
      <c r="K144" s="2">
        <v>24</v>
      </c>
      <c r="L144" s="2" t="s">
        <v>794</v>
      </c>
      <c r="M144" s="2" t="s">
        <v>795</v>
      </c>
      <c r="N144" s="2">
        <v>141</v>
      </c>
    </row>
    <row r="145" spans="1:14" x14ac:dyDescent="0.2">
      <c r="A145" s="2" t="s">
        <v>796</v>
      </c>
      <c r="B145" s="2">
        <v>29</v>
      </c>
      <c r="C145" s="2">
        <v>0</v>
      </c>
      <c r="D145" s="2">
        <v>29</v>
      </c>
      <c r="E145" s="2" t="str">
        <f t="shared" si="2"/>
        <v>SPRING</v>
      </c>
      <c r="F145" s="2" t="s">
        <v>797</v>
      </c>
      <c r="G145" s="2" t="s">
        <v>501</v>
      </c>
      <c r="H145" s="5" t="s">
        <v>792</v>
      </c>
      <c r="I145" s="5" t="s">
        <v>798</v>
      </c>
      <c r="J145" s="6">
        <v>44365</v>
      </c>
      <c r="K145" s="2">
        <v>24</v>
      </c>
      <c r="L145" s="2" t="s">
        <v>799</v>
      </c>
      <c r="M145" s="2" t="s">
        <v>800</v>
      </c>
      <c r="N145" s="2">
        <v>142</v>
      </c>
    </row>
    <row r="146" spans="1:14" x14ac:dyDescent="0.2">
      <c r="A146" s="2" t="s">
        <v>801</v>
      </c>
      <c r="B146" s="2">
        <v>25</v>
      </c>
      <c r="C146" s="2">
        <v>0</v>
      </c>
      <c r="D146" s="2">
        <v>25</v>
      </c>
      <c r="E146" s="2" t="str">
        <f t="shared" si="2"/>
        <v>SPRING</v>
      </c>
      <c r="F146" s="2" t="s">
        <v>802</v>
      </c>
      <c r="G146" s="2" t="s">
        <v>501</v>
      </c>
      <c r="H146" s="5" t="s">
        <v>803</v>
      </c>
      <c r="I146" s="5" t="s">
        <v>804</v>
      </c>
      <c r="J146" s="6">
        <v>44366</v>
      </c>
      <c r="K146" s="2">
        <v>24</v>
      </c>
      <c r="L146" s="2" t="s">
        <v>805</v>
      </c>
      <c r="M146" s="2" t="s">
        <v>806</v>
      </c>
      <c r="N146" s="2">
        <v>143</v>
      </c>
    </row>
    <row r="147" spans="1:14" x14ac:dyDescent="0.2">
      <c r="A147" s="2" t="s">
        <v>807</v>
      </c>
      <c r="B147" s="2">
        <v>23</v>
      </c>
      <c r="C147" s="2">
        <v>0</v>
      </c>
      <c r="D147" s="2">
        <v>23</v>
      </c>
      <c r="E147" s="2" t="str">
        <f t="shared" si="2"/>
        <v>SPRING</v>
      </c>
      <c r="F147" s="2" t="s">
        <v>808</v>
      </c>
      <c r="G147" s="2" t="s">
        <v>501</v>
      </c>
      <c r="H147" s="5" t="s">
        <v>809</v>
      </c>
      <c r="I147" s="5" t="s">
        <v>810</v>
      </c>
      <c r="J147" s="6">
        <v>44367</v>
      </c>
      <c r="K147" s="2">
        <v>24</v>
      </c>
      <c r="L147" s="2" t="s">
        <v>811</v>
      </c>
      <c r="M147" s="2" t="s">
        <v>812</v>
      </c>
      <c r="N147" s="2">
        <v>144</v>
      </c>
    </row>
    <row r="148" spans="1:14" x14ac:dyDescent="0.2">
      <c r="A148" s="2" t="s">
        <v>813</v>
      </c>
      <c r="B148" s="2">
        <v>40</v>
      </c>
      <c r="C148" s="2">
        <v>0</v>
      </c>
      <c r="D148" s="2">
        <v>40</v>
      </c>
      <c r="E148" s="2" t="str">
        <f t="shared" si="2"/>
        <v>SPRING</v>
      </c>
      <c r="F148" s="2" t="s">
        <v>814</v>
      </c>
      <c r="G148" s="2" t="s">
        <v>501</v>
      </c>
      <c r="H148" s="5" t="s">
        <v>815</v>
      </c>
      <c r="I148" s="5" t="s">
        <v>816</v>
      </c>
      <c r="J148" s="6">
        <v>44369</v>
      </c>
      <c r="K148" s="2">
        <v>25</v>
      </c>
      <c r="L148" s="2" t="s">
        <v>817</v>
      </c>
      <c r="M148" s="2" t="s">
        <v>818</v>
      </c>
      <c r="N148" s="2">
        <v>145</v>
      </c>
    </row>
    <row r="149" spans="1:14" x14ac:dyDescent="0.2">
      <c r="A149" s="2" t="s">
        <v>819</v>
      </c>
      <c r="B149" s="2">
        <v>17</v>
      </c>
      <c r="C149" s="2">
        <v>0</v>
      </c>
      <c r="D149" s="2">
        <v>17</v>
      </c>
      <c r="E149" s="2" t="str">
        <f t="shared" si="2"/>
        <v>SPRING</v>
      </c>
      <c r="F149" s="2" t="s">
        <v>814</v>
      </c>
      <c r="G149" s="2" t="s">
        <v>501</v>
      </c>
      <c r="H149" s="5" t="s">
        <v>820</v>
      </c>
      <c r="I149" s="5" t="s">
        <v>821</v>
      </c>
      <c r="J149" s="6">
        <v>44376</v>
      </c>
      <c r="K149" s="2">
        <v>26</v>
      </c>
      <c r="L149" s="2" t="s">
        <v>822</v>
      </c>
      <c r="M149" s="2" t="s">
        <v>823</v>
      </c>
      <c r="N149" s="2">
        <v>146</v>
      </c>
    </row>
    <row r="150" spans="1:14" x14ac:dyDescent="0.2">
      <c r="A150" s="2" t="s">
        <v>824</v>
      </c>
      <c r="B150" s="2">
        <v>37</v>
      </c>
      <c r="C150" s="2">
        <v>1</v>
      </c>
      <c r="D150" s="2">
        <v>36</v>
      </c>
      <c r="E150" s="2" t="str">
        <f t="shared" si="2"/>
        <v>SPRING</v>
      </c>
      <c r="F150" s="2" t="s">
        <v>825</v>
      </c>
      <c r="G150" s="2" t="s">
        <v>501</v>
      </c>
      <c r="H150" s="5" t="s">
        <v>826</v>
      </c>
      <c r="I150" s="5" t="s">
        <v>827</v>
      </c>
      <c r="J150" s="6">
        <v>44370</v>
      </c>
      <c r="K150" s="2">
        <v>25</v>
      </c>
      <c r="L150" s="2" t="s">
        <v>828</v>
      </c>
      <c r="M150" s="2" t="s">
        <v>829</v>
      </c>
      <c r="N150" s="2">
        <v>147</v>
      </c>
    </row>
    <row r="151" spans="1:14" x14ac:dyDescent="0.2">
      <c r="A151" s="2" t="s">
        <v>830</v>
      </c>
      <c r="B151" s="2">
        <v>47</v>
      </c>
      <c r="C151" s="2">
        <v>0</v>
      </c>
      <c r="D151" s="2">
        <v>47</v>
      </c>
      <c r="E151" s="2" t="str">
        <f t="shared" si="2"/>
        <v>SPRING</v>
      </c>
      <c r="F151" s="2" t="s">
        <v>831</v>
      </c>
      <c r="G151" s="2" t="s">
        <v>501</v>
      </c>
      <c r="H151" s="5" t="s">
        <v>826</v>
      </c>
      <c r="I151" s="5" t="s">
        <v>832</v>
      </c>
      <c r="J151" s="6">
        <v>44376</v>
      </c>
      <c r="K151" s="2">
        <v>26</v>
      </c>
      <c r="L151" s="2" t="s">
        <v>833</v>
      </c>
      <c r="M151" s="2" t="s">
        <v>834</v>
      </c>
      <c r="N151" s="2">
        <v>148</v>
      </c>
    </row>
    <row r="152" spans="1:14" x14ac:dyDescent="0.2">
      <c r="A152" s="2" t="s">
        <v>835</v>
      </c>
      <c r="B152" s="2">
        <v>37</v>
      </c>
      <c r="C152" s="2">
        <v>1</v>
      </c>
      <c r="D152" s="2">
        <v>36</v>
      </c>
      <c r="E152" s="2" t="str">
        <f t="shared" si="2"/>
        <v>SPRING</v>
      </c>
      <c r="F152" s="2" t="s">
        <v>233</v>
      </c>
      <c r="G152" s="2" t="s">
        <v>501</v>
      </c>
      <c r="H152" s="5" t="s">
        <v>836</v>
      </c>
      <c r="I152" s="5" t="s">
        <v>837</v>
      </c>
      <c r="J152" s="6">
        <v>44369</v>
      </c>
      <c r="K152" s="2">
        <v>25</v>
      </c>
      <c r="L152" s="2" t="s">
        <v>838</v>
      </c>
      <c r="M152" s="2" t="s">
        <v>839</v>
      </c>
      <c r="N152" s="2">
        <v>149</v>
      </c>
    </row>
    <row r="153" spans="1:14" x14ac:dyDescent="0.2">
      <c r="A153" s="2" t="s">
        <v>840</v>
      </c>
      <c r="B153" s="2">
        <v>10</v>
      </c>
      <c r="C153" s="2">
        <v>0</v>
      </c>
      <c r="D153" s="2">
        <v>10</v>
      </c>
      <c r="E153" s="2" t="str">
        <f t="shared" si="2"/>
        <v>SPRING</v>
      </c>
      <c r="F153" s="2" t="s">
        <v>841</v>
      </c>
      <c r="G153" s="2" t="s">
        <v>501</v>
      </c>
      <c r="H153" s="5" t="s">
        <v>842</v>
      </c>
      <c r="I153" s="5" t="s">
        <v>843</v>
      </c>
      <c r="J153" s="6">
        <v>44360</v>
      </c>
      <c r="K153" s="2">
        <v>23</v>
      </c>
      <c r="L153" s="2" t="s">
        <v>844</v>
      </c>
      <c r="M153" s="2" t="s">
        <v>845</v>
      </c>
      <c r="N153" s="2">
        <v>150</v>
      </c>
    </row>
  </sheetData>
  <conditionalFormatting sqref="G1:G1048576">
    <cfRule type="containsText" dxfId="1" priority="1" operator="containsText" text="N/A">
      <formula>NOT(ISERROR(SEARCH("N/A",G1)))</formula>
    </cfRule>
    <cfRule type="containsText" dxfId="0" priority="2" operator="containsText" text="#N/A">
      <formula>NOT(ISERROR(SEARCH("#N/A",G1)))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Goodall</dc:creator>
  <cp:lastModifiedBy>Jake Goodall</cp:lastModifiedBy>
  <dcterms:created xsi:type="dcterms:W3CDTF">2026-01-26T09:45:29Z</dcterms:created>
  <dcterms:modified xsi:type="dcterms:W3CDTF">2026-02-19T09:20:03Z</dcterms:modified>
</cp:coreProperties>
</file>